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praja\Downloads\"/>
    </mc:Choice>
  </mc:AlternateContent>
  <xr:revisionPtr revIDLastSave="0" documentId="8_{3B7603FF-58CE-4345-8BDD-428CE9196631}"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definedNames>
    <definedName name="_xlchart.v5.0" hidden="1">Sheet2!$E$106</definedName>
    <definedName name="_xlchart.v5.1" hidden="1">Sheet2!$E$107:$E$125</definedName>
    <definedName name="_xlchart.v5.2" hidden="1">Sheet2!$F$106</definedName>
    <definedName name="_xlchart.v5.3" hidden="1">Sheet2!$F$107:$F$125</definedName>
    <definedName name="Slicer_Payment_Mode">#N/A</definedName>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2" l="1"/>
  <c r="M3" i="2"/>
  <c r="N3" i="2" l="1"/>
</calcChain>
</file>

<file path=xl/sharedStrings.xml><?xml version="1.0" encoding="utf-8"?>
<sst xmlns="http://schemas.openxmlformats.org/spreadsheetml/2006/main" count="339" uniqueCount="139">
  <si>
    <t>Order ID</t>
  </si>
  <si>
    <t>Order Date</t>
  </si>
  <si>
    <t>Product Name</t>
  </si>
  <si>
    <t>Category</t>
  </si>
  <si>
    <t>Brand</t>
  </si>
  <si>
    <t>Quantity</t>
  </si>
  <si>
    <t>Unit Price</t>
  </si>
  <si>
    <t>Discount (%)</t>
  </si>
  <si>
    <t>GST (%)</t>
  </si>
  <si>
    <t>State</t>
  </si>
  <si>
    <t>Payment Mode</t>
  </si>
  <si>
    <t>Total Sales</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</si>
  <si>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</si>
  <si>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</si>
  <si>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</si>
  <si>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</si>
  <si>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</si>
  <si>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</si>
  <si>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</si>
  <si>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</si>
  <si>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</si>
  <si>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</si>
  <si>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</si>
  <si>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</si>
  <si>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</si>
  <si>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</si>
  <si>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</si>
  <si>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</si>
  <si>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</si>
  <si>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</si>
  <si>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</si>
  <si>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</si>
  <si>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</si>
  <si>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</si>
  <si>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</si>
  <si>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</si>
  <si>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</si>
  <si>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</si>
  <si>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</si>
  <si>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</si>
  <si>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</si>
  <si>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</si>
  <si>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</si>
  <si>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</si>
  <si>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</si>
  <si>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</si>
  <si>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</si>
  <si>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</si>
  <si>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</si>
  <si>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</si>
  <si>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</si>
  <si>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</si>
  <si>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26-Jan-2025</t>
  </si>
  <si>
    <t>02-Jan-2025</t>
  </si>
  <si>
    <t>12-Jan-2025</t>
  </si>
  <si>
    <t>22-Jan-2025</t>
  </si>
  <si>
    <t>29-Jan-2025</t>
  </si>
  <si>
    <t>25-Jan-2025</t>
  </si>
  <si>
    <t>16-Jan-2025</t>
  </si>
  <si>
    <t>28-Jan-2025</t>
  </si>
  <si>
    <t>27-Jan-2025</t>
  </si>
  <si>
    <t>04-Jan-2025</t>
  </si>
  <si>
    <t>18-Jan-2025</t>
  </si>
  <si>
    <t>17-Jan-2025</t>
  </si>
  <si>
    <t>14-Jan-2025</t>
  </si>
  <si>
    <t>11-Jan-2025</t>
  </si>
  <si>
    <t>08-Jan-2025</t>
  </si>
  <si>
    <t>09-Jan-2025</t>
  </si>
  <si>
    <t>15-Jan-2025</t>
  </si>
  <si>
    <t>30-Jan-2025</t>
  </si>
  <si>
    <t>03-Jan-2025</t>
  </si>
  <si>
    <t>20-Jan-2025</t>
  </si>
  <si>
    <t>24-Jan-2025</t>
  </si>
  <si>
    <t>23-Jan-2025</t>
  </si>
  <si>
    <t>Tablet</t>
  </si>
  <si>
    <t>Headphones</t>
  </si>
  <si>
    <t>Air Conditioner</t>
  </si>
  <si>
    <t>Smart TV</t>
  </si>
  <si>
    <t>Printer</t>
  </si>
  <si>
    <t>Smartphone</t>
  </si>
  <si>
    <t>Washing Machine</t>
  </si>
  <si>
    <t>Smartwatch</t>
  </si>
  <si>
    <t>Bluetooth Speaker</t>
  </si>
  <si>
    <t>Laptop</t>
  </si>
  <si>
    <t>Computing</t>
  </si>
  <si>
    <t>Audio</t>
  </si>
  <si>
    <t>Home Appliance</t>
  </si>
  <si>
    <t>Television</t>
  </si>
  <si>
    <t>Mobile</t>
  </si>
  <si>
    <t>Wearable</t>
  </si>
  <si>
    <t>Apple</t>
  </si>
  <si>
    <t>Boat</t>
  </si>
  <si>
    <t>Samsung</t>
  </si>
  <si>
    <t>Sony</t>
  </si>
  <si>
    <t>Brother</t>
  </si>
  <si>
    <t>Canon</t>
  </si>
  <si>
    <t>OnePlus</t>
  </si>
  <si>
    <t>IFB</t>
  </si>
  <si>
    <t>FireBoltt</t>
  </si>
  <si>
    <t>Lenovo</t>
  </si>
  <si>
    <t>Xiaomi</t>
  </si>
  <si>
    <t>Noise</t>
  </si>
  <si>
    <t>JBL</t>
  </si>
  <si>
    <t>Philips</t>
  </si>
  <si>
    <t>LG</t>
  </si>
  <si>
    <t>Dell</t>
  </si>
  <si>
    <t>Asus</t>
  </si>
  <si>
    <t>Kerala</t>
  </si>
  <si>
    <t>Andhra Pradesh</t>
  </si>
  <si>
    <t>Haryana</t>
  </si>
  <si>
    <t>Gujarat</t>
  </si>
  <si>
    <t>Goa</t>
  </si>
  <si>
    <t>Jharkhand</t>
  </si>
  <si>
    <t>Telangana</t>
  </si>
  <si>
    <t>Karnataka</t>
  </si>
  <si>
    <t>Punjab</t>
  </si>
  <si>
    <t>Maharashtra</t>
  </si>
  <si>
    <t>Bihar</t>
  </si>
  <si>
    <t>Assam</t>
  </si>
  <si>
    <t>Chhattisgarh</t>
  </si>
  <si>
    <t>Madhya Pradesh</t>
  </si>
  <si>
    <t>Tamil Nadu</t>
  </si>
  <si>
    <t>West Bengal</t>
  </si>
  <si>
    <t>Uttar Pradesh</t>
  </si>
  <si>
    <t>Odisha</t>
  </si>
  <si>
    <t>Rajasthan</t>
  </si>
  <si>
    <t>COD</t>
  </si>
  <si>
    <t>NetBanking</t>
  </si>
  <si>
    <t>Credit Card</t>
  </si>
  <si>
    <t>Debit Card</t>
  </si>
  <si>
    <t>UPI</t>
  </si>
  <si>
    <t>Row Labels</t>
  </si>
  <si>
    <t>Grand Total</t>
  </si>
  <si>
    <t>Sum of Discount (%)</t>
  </si>
  <si>
    <t>Sum of Total Sales</t>
  </si>
  <si>
    <t>(All)</t>
  </si>
  <si>
    <t>Average Order Value</t>
  </si>
  <si>
    <t>Average Discount</t>
  </si>
  <si>
    <t>ALL-INDIA ELECTRONICS RETAIL PERFORMANCE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</si>
</sst>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color theme="1"/>
      <name val="Calibri"/>
      <family val="2"/>
      <scheme val="minor"/>
    </font>
    <font>
      <sz val="8"/>
      <name val="Calibri"/>
      <family val="2"/>
      <scheme val="minor"/>
    </font>
    <font>
      <sz val="11"/>
      <color theme="6" tint="0.79998168889431442"/>
      <name val="Calibri"/>
      <family val="2"/>
      <scheme val="minor"/>
    </font>
    <font>
      <b/>
      <sz val="36"/>
      <color theme="0" tint="-0.499984740745262"/>
      <name val="Algerian"/>
      <family val="5"/>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3" fillId="2" borderId="0" xfId="0" applyFont="1" applyFill="1"/>
    <xf numFmtId="9" fontId="3" fillId="2" borderId="0" xfId="0" applyNumberFormat="1" applyFont="1" applyFill="1"/>
    <xf numFmtId="2" fontId="3" fillId="2" borderId="0" xfId="0" applyNumberFormat="1" applyFont="1" applyFill="1"/>
    <xf numFmtId="10" fontId="3" fillId="2" borderId="0" xfId="0" applyNumberFormat="1" applyFont="1" applyFill="1"/>
    <xf numFmtId="164" fontId="3" fillId="2" borderId="0" xfId="0" applyNumberFormat="1" applyFont="1" applyFill="1"/>
    <xf numFmtId="0" fontId="3" fillId="2" borderId="0" xfId="0" applyFont="1" applyFill="1" applyAlignment="1">
      <alignment horizontal="left"/>
    </xf>
    <xf numFmtId="0" fontId="4" fillId="2" borderId="0" xfId="0" applyFont="1" applyFill="1" applyAlignment="1">
      <alignment horizontal="center" vertical="center"/>
    </xf>
    <xf numFmtId="0" fontId="3" fillId="2" borderId="0" xfId="0" applyNumberFormat="1" applyFont="1" applyFill="1"/>
  </cellXfs>
  <cellStyles count="1">
    <cellStyle name="Normal" xfId="0" builtinId="0"/>
  </cellStyles>
  <dxfs count="482">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ont>
        <color theme="6"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i val="0"/>
        <color theme="1" tint="0.14996795556505021"/>
      </font>
    </dxf>
    <dxf>
      <fill>
        <patternFill>
          <bgColor theme="6" tint="0.79998168889431442"/>
        </patternFill>
      </fill>
    </dxf>
  </dxfs>
  <tableStyles count="1" defaultTableStyle="TableStyleMedium2" defaultPivotStyle="PivotStyleLight16">
    <tableStyle name="Slicer Style 1" pivot="0" table="0" count="5" xr9:uid="{9C501261-FBF0-4D14-9C87-826F006D48BE}">
      <tableStyleElement type="wholeTable" dxfId="481"/>
      <tableStyleElement type="headerRow" dxfId="480"/>
    </tableStyle>
  </tableStyles>
  <extLst>
    <ext xmlns:x14="http://schemas.microsoft.com/office/spreadsheetml/2009/9/main" uri="{46F421CA-312F-682f-3DD2-61675219B42D}">
      <x14:dxfs count="3">
        <dxf>
          <fill>
            <patternFill>
              <bgColor theme="6" tint="0.39994506668294322"/>
            </patternFill>
          </fill>
        </dxf>
        <dxf>
          <font>
            <b/>
            <i val="0"/>
            <color theme="0" tint="-4.9989318521683403E-2"/>
          </font>
          <fill>
            <patternFill>
              <bgColor rgb="FF92D050"/>
            </patternFill>
          </fill>
        </dxf>
        <dxf>
          <font>
            <color theme="1" tint="0.14996795556505021"/>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[All_India_Electronics_Sales_Dashboard.xlsx]Sheet2!PivotTable2</c:name>
    <c:fmtId val="1"/>
  </c:pivotSource>
  <c:chart>
    <c:title>
      <c:tx>
        <c:rich>
          <a:bodyPr rot="0" spcFirstLastPara="1" vertOverflow="ellipsis" vert="horz" wrap="square" anchor="ctr" anchorCtr="1"/>
          <a:lstStyle/>
          <a:p>
            <a:pPr algn="r">
              <a:defRPr sz="1400" b="0" i="0" u="none" strike="noStrike" kern="1200" spc="0" baseline="0">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latin typeface="+mn-lt"/>
                <a:ea typeface="+mn-ea"/>
                <a:cs typeface="+mn-cs"/>
              </a:defRPr>
            </a:pPr>
            <a:r>
              <a:rPr lang="en-IN" sz="1800" b="1">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rPr>
              <a:t>Brand</a:t>
            </a:r>
            <a:r>
              <a:rPr lang="en-IN" sz="1800" b="1" baseline="0">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rPr>
              <a:t> Performance Analysis</a:t>
            </a:r>
            <a:endParaRPr lang="en-IN" sz="1800" b="1">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endParaRPr>
          </a:p>
        </c:rich>
      </c:tx>
      <c:layout>
        <c:manualLayout>
          <c:xMode val="edge"/>
          <c:yMode val="edge"/>
          <c:x val="0.21119800219229967"/>
          <c:y val="0.10273120113121505"/>
        </c:manualLayout>
      </c:layout>
      <c:overlay val="0"/>
      <c:spPr>
        <a:noFill/>
        <a:ln>
          <a:noFill/>
        </a:ln>
        <a:effectLst/>
      </c:spPr>
      <c:txPr>
        <a:bodyPr rot="0" spcFirstLastPara="1" vertOverflow="ellipsis" vert="horz" wrap="square" anchor="ctr" anchorCtr="1"/>
        <a:lstStyle/>
        <a:p>
          <a:pPr algn="r">
            <a:defRPr sz="1400" b="0" i="0" u="none" strike="noStrike" kern="1200" spc="0" baseline="0">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Sheet2!$G$146</c:f>
              <c:strCache>
                <c:ptCount val="1"/>
                <c:pt idx="0">
                  <c:v>Total</c:v>
                </c:pt>
              </c:strCache>
            </c:strRef>
          </c:tx>
          <c:spPr>
            <a:solidFill>
              <a:schemeClr val="accent3"/>
            </a:solidFill>
            <a:ln>
              <a:noFill/>
            </a:ln>
            <a:effectLst/>
          </c:spPr>
          <c:invertIfNegative val="0"/>
          <c:cat>
            <c:strRef>
              <c:f>Sheet2!$F$147:$F$148</c:f>
              <c:strCache>
                <c:ptCount val="1"/>
                <c:pt idx="0">
                  <c:v>Apple</c:v>
                </c:pt>
              </c:strCache>
            </c:strRef>
          </c:cat>
          <c:val>
            <c:numRef>
              <c:f>Sheet2!$G$147:$G$148</c:f>
              <c:numCache>
                <c:formatCode>General</c:formatCode>
                <c:ptCount val="1"/>
                <c:pt idx="0">
                  <c:v>80853</c:v>
                </c:pt>
              </c:numCache>
            </c:numRef>
          </c:val>
          <c:extLst>
            <c:ext xmlns:c16="http://schemas.microsoft.com/office/drawing/2014/chart" uri="{C3380CC4-5D6E-409C-BE32-E72D297353CC}">
              <c16:uniqueId val="{00000000-250F-414A-8BA8-07F07F608E0F}"/>
            </c:ext>
          </c:extLst>
        </c:ser>
        <c:dLbls>
          <c:showLegendKey val="0"/>
          <c:showVal val="0"/>
          <c:showCatName val="0"/>
          <c:showSerName val="0"/>
          <c:showPercent val="0"/>
          <c:showBubbleSize val="0"/>
        </c:dLbls>
        <c:gapWidth val="150"/>
        <c:overlap val="100"/>
        <c:axId val="550450272"/>
        <c:axId val="550449552"/>
      </c:barChart>
      <c:catAx>
        <c:axId val="550450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bg2">
                    <a:lumMod val="50000"/>
                  </a:schemeClr>
                </a:solidFill>
                <a:latin typeface="+mn-lt"/>
                <a:ea typeface="+mn-ea"/>
                <a:cs typeface="+mn-cs"/>
              </a:defRPr>
            </a:pPr>
            <a:endParaRPr lang="en-US"/>
          </a:p>
        </c:txPr>
        <c:crossAx val="550449552"/>
        <c:crosses val="autoZero"/>
        <c:auto val="1"/>
        <c:lblAlgn val="ctr"/>
        <c:lblOffset val="100"/>
        <c:noMultiLvlLbl val="0"/>
      </c:catAx>
      <c:valAx>
        <c:axId val="550449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solidFill>
                <a:latin typeface="+mn-lt"/>
                <a:ea typeface="+mn-ea"/>
                <a:cs typeface="+mn-cs"/>
              </a:defRPr>
            </a:pPr>
            <a:endParaRPr lang="en-US"/>
          </a:p>
        </c:txPr>
        <c:crossAx val="5504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a:softEdge rad="31750"/>
    </a:effectLst>
  </c:spPr>
  <c:txPr>
    <a:bodyPr/>
    <a:lstStyle/>
    <a:p>
      <a:pPr>
        <a:defRPr>
          <a:ln>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[All_India_Electronics_Sales_Dashboard.xlsx]Sheet2!PivotTable4</c:name>
    <c:fmtId val="0"/>
  </c:pivotSource>
  <c:chart>
    <c:title>
      <c:tx>
        <c:rich>
          <a:bodyPr rot="0" spcFirstLastPara="1" vertOverflow="ellipsis" vert="horz" wrap="square" anchor="ctr" anchorCtr="1"/>
          <a:lstStyle/>
          <a:p>
            <a:pPr>
              <a:defRPr sz="1400" b="0" i="0" u="none" strike="noStrike" kern="1200" spc="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65000"/>
                    <a:lumOff val="35000"/>
                  </a:schemeClr>
                </a:solidFill>
                <a:effectLst>
                  <a:reflection blurRad="6350" stA="55000" endA="50" endPos="85000" dist="406400" dir="5400000" sy="-100000" algn="bl" rotWithShape="0"/>
                </a:effectLst>
                <a:latin typeface="+mn-lt"/>
                <a:ea typeface="+mn-ea"/>
                <a:cs typeface="+mn-cs"/>
              </a:defRPr>
            </a:pPr>
            <a:r>
              <a:rPr lang="en-IN" sz="1600" b="1">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rPr>
              <a:t>Discount</a:t>
            </a:r>
            <a:r>
              <a:rPr lang="en-IN" sz="1600" b="1" baseline="0">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rPr>
              <a:t> Distribution Across Categories</a:t>
            </a:r>
            <a:endParaRPr lang="en-IN" sz="1600" b="1">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endParaRPr>
          </a:p>
        </c:rich>
      </c:tx>
      <c:layout>
        <c:manualLayout>
          <c:xMode val="edge"/>
          <c:yMode val="edge"/>
          <c:x val="0.15303841270631585"/>
          <c:y val="0.19771653838799547"/>
        </c:manualLayout>
      </c:layout>
      <c:overlay val="0"/>
      <c:spPr>
        <a:noFill/>
        <a:ln>
          <a:noFill/>
        </a:ln>
        <a:effectLst/>
      </c:spPr>
      <c:txPr>
        <a:bodyPr rot="0" spcFirstLastPara="1" vertOverflow="ellipsis" vert="horz" wrap="square" anchor="ctr" anchorCtr="1"/>
        <a:lstStyle/>
        <a:p>
          <a:pPr>
            <a:defRPr sz="1400" b="0" i="0" u="none" strike="noStrike" kern="1200" spc="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65000"/>
                  <a:lumOff val="35000"/>
                </a:schemeClr>
              </a:solidFill>
              <a:effectLst>
                <a:reflection blurRad="6350" stA="55000" endA="50" endPos="85000" dist="406400" dir="5400000" sy="-100000" algn="bl" rotWithShape="0"/>
              </a:effectLst>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75000"/>
                      <a:lumOff val="25000"/>
                    </a:schemeClr>
                  </a:solidFill>
                  <a:effectLst>
                    <a:reflection blurRad="6350" stA="55000" endA="50" endPos="85000" dist="4064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75000"/>
                      <a:lumOff val="25000"/>
                    </a:schemeClr>
                  </a:solidFill>
                  <a:effectLst>
                    <a:reflection blurRad="6350" stA="55000" endA="50" endPos="85000" dist="4064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Sheet2!$B$117</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75000"/>
                        <a:lumOff val="25000"/>
                      </a:schemeClr>
                    </a:solidFill>
                    <a:effectLst>
                      <a:reflection blurRad="6350" stA="55000" endA="50" endPos="85000" dist="4064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Sheet2!$A$118:$A$119</c:f>
              <c:strCache>
                <c:ptCount val="1"/>
                <c:pt idx="0">
                  <c:v>Computing</c:v>
                </c:pt>
              </c:strCache>
            </c:strRef>
          </c:cat>
          <c:val>
            <c:numRef>
              <c:f>Sheet2!$B$118:$B$119</c:f>
              <c:numCache>
                <c:formatCode>General</c:formatCode>
                <c:ptCount val="1"/>
                <c:pt idx="0">
                  <c:v>8</c:v>
                </c:pt>
              </c:numCache>
            </c:numRef>
          </c:val>
          <c:extLst>
            <c:ext xmlns:c16="http://schemas.microsoft.com/office/drawing/2014/chart" uri="{C3380CC4-5D6E-409C-BE32-E72D297353CC}">
              <c16:uniqueId val="{00000029-5E2E-44EE-B878-DBFB6F5BCB60}"/>
            </c:ext>
          </c:extLst>
        </c:ser>
        <c:dLbls>
          <c:dLblPos val="outEnd"/>
          <c:showLegendKey val="0"/>
          <c:showVal val="1"/>
          <c:showCatName val="0"/>
          <c:showSerName val="0"/>
          <c:showPercent val="0"/>
          <c:showBubbleSize val="0"/>
        </c:dLbls>
        <c:gapWidth val="219"/>
        <c:overlap val="-27"/>
        <c:axId val="539631064"/>
        <c:axId val="539638984"/>
      </c:barChart>
      <c:catAx>
        <c:axId val="539631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65000"/>
                    <a:lumOff val="35000"/>
                  </a:schemeClr>
                </a:solidFill>
                <a:effectLst>
                  <a:reflection blurRad="6350" stA="55000" endA="50" endPos="85000" dist="406400" dir="5400000" sy="-100000" algn="bl" rotWithShape="0"/>
                </a:effectLst>
                <a:latin typeface="+mn-lt"/>
                <a:ea typeface="+mn-ea"/>
                <a:cs typeface="+mn-cs"/>
              </a:defRPr>
            </a:pPr>
            <a:endParaRPr lang="en-US"/>
          </a:p>
        </c:txPr>
        <c:crossAx val="539638984"/>
        <c:crosses val="autoZero"/>
        <c:auto val="1"/>
        <c:lblAlgn val="ctr"/>
        <c:lblOffset val="100"/>
        <c:noMultiLvlLbl val="0"/>
      </c:catAx>
      <c:valAx>
        <c:axId val="539638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65000"/>
                    <a:lumOff val="35000"/>
                  </a:schemeClr>
                </a:solidFill>
                <a:effectLst>
                  <a:reflection blurRad="6350" stA="55000" endA="50" endPos="85000" dist="406400" dir="5400000" sy="-100000" algn="bl" rotWithShape="0"/>
                </a:effectLst>
                <a:latin typeface="+mn-lt"/>
                <a:ea typeface="+mn-ea"/>
                <a:cs typeface="+mn-cs"/>
              </a:defRPr>
            </a:pPr>
            <a:endParaRPr lang="en-US"/>
          </a:p>
        </c:txPr>
        <c:crossAx val="539631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solidFill>
                <a:schemeClr val="tx1">
                  <a:lumMod val="65000"/>
                  <a:lumOff val="35000"/>
                </a:schemeClr>
              </a:solidFill>
              <a:effectLst>
                <a:reflection blurRad="6350" stA="55000" endA="50" endPos="85000" dist="406400" dir="5400000" sy="-10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ln>
            <a:gradFill flip="none" rotWithShape="1">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effectLst>
            <a:reflection blurRad="6350" stA="55000" endA="50" endPos="85000" dist="4064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[All_India_Electronics_Sales_Dashboard.xlsx]Sheet2!PivotTable5</c:name>
    <c:fmtId val="0"/>
  </c:pivotSource>
  <c:chart>
    <c:title>
      <c:tx>
        <c:rich>
          <a:bodyPr rot="0" spcFirstLastPara="1" vertOverflow="ellipsis" vert="horz" wrap="square" anchor="ctr" anchorCtr="1"/>
          <a:lstStyle/>
          <a:p>
            <a:pPr>
              <a:defRPr sz="1400" b="0" i="0" u="none" strike="noStrike" kern="1200" spc="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r>
              <a:rPr lang="en-IN" sz="1800" b="1"/>
              <a:t>Sales</a:t>
            </a:r>
            <a:r>
              <a:rPr lang="en-IN" sz="1800" b="1" baseline="0"/>
              <a:t> Revenue Over Time</a:t>
            </a:r>
            <a:endParaRPr lang="en-IN" sz="1800" b="1"/>
          </a:p>
        </c:rich>
      </c:tx>
      <c:layout>
        <c:manualLayout>
          <c:xMode val="edge"/>
          <c:yMode val="edge"/>
          <c:x val="0.22287913907637166"/>
          <c:y val="0.12025172792991462"/>
        </c:manualLayout>
      </c:layout>
      <c:overlay val="0"/>
      <c:spPr>
        <a:noFill/>
        <a:ln>
          <a:noFill/>
        </a:ln>
        <a:effectLst/>
      </c:spPr>
      <c:txPr>
        <a:bodyPr rot="0" spcFirstLastPara="1" vertOverflow="ellipsis" vert="horz" wrap="square" anchor="ctr" anchorCtr="1"/>
        <a:lstStyle/>
        <a:p>
          <a:pPr>
            <a:defRPr sz="1400" b="0" i="0" u="none" strike="noStrike" kern="1200" spc="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IN"/>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Sheet2!$G$130</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Sheet2!$F$131:$F$132</c:f>
              <c:strCache>
                <c:ptCount val="1"/>
                <c:pt idx="0">
                  <c:v>12-Jan-2025</c:v>
                </c:pt>
              </c:strCache>
            </c:strRef>
          </c:cat>
          <c:val>
            <c:numRef>
              <c:f>Sheet2!$G$131:$G$132</c:f>
              <c:numCache>
                <c:formatCode>General</c:formatCode>
                <c:ptCount val="1"/>
                <c:pt idx="0">
                  <c:v>80853</c:v>
                </c:pt>
              </c:numCache>
            </c:numRef>
          </c:val>
          <c:smooth val="0"/>
          <c:extLst>
            <c:ext xmlns:c16="http://schemas.microsoft.com/office/drawing/2014/chart" uri="{C3380CC4-5D6E-409C-BE32-E72D297353CC}">
              <c16:uniqueId val="{00000000-E474-4626-9125-2749ADC7B773}"/>
            </c:ext>
          </c:extLst>
        </c:ser>
        <c:dLbls>
          <c:showLegendKey val="0"/>
          <c:showVal val="0"/>
          <c:showCatName val="0"/>
          <c:showSerName val="0"/>
          <c:showPercent val="0"/>
          <c:showBubbleSize val="0"/>
        </c:dLbls>
        <c:marker val="1"/>
        <c:smooth val="0"/>
        <c:axId val="541673920"/>
        <c:axId val="541675360"/>
      </c:lineChart>
      <c:catAx>
        <c:axId val="54167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US"/>
          </a:p>
        </c:txPr>
        <c:crossAx val="541675360"/>
        <c:crosses val="autoZero"/>
        <c:auto val="1"/>
        <c:lblAlgn val="ctr"/>
        <c:lblOffset val="100"/>
        <c:noMultiLvlLbl val="0"/>
      </c:catAx>
      <c:valAx>
        <c:axId val="54167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US"/>
          </a:p>
        </c:txPr>
        <c:crossAx val="54167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[All_India_Electronics_Sales_Dashboard.xlsx]Sheet2!PivotTable10</c:name>
    <c:fmtId val="0"/>
  </c:pivotSource>
  <c:chart>
    <c:title>
      <c:tx>
        <c:rich>
          <a:bodyPr rot="0" spcFirstLastPara="1" vertOverflow="ellipsis" vert="horz" wrap="square" anchor="ctr" anchorCtr="1"/>
          <a:lstStyle/>
          <a:p>
            <a:pPr>
              <a:defRPr sz="1800" b="0" i="0" u="none" strike="noStrike" kern="1200" spc="0" baseline="0">
                <a:gradFill>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gradFill>
                <a:latin typeface="+mn-lt"/>
                <a:ea typeface="+mn-ea"/>
                <a:cs typeface="+mn-cs"/>
              </a:defRPr>
            </a:pPr>
            <a:r>
              <a:rPr lang="en-IN" sz="1800" b="1">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rPr>
              <a:t>Revenue</a:t>
            </a:r>
            <a:r>
              <a:rPr lang="en-IN" sz="1800" b="1" baseline="0">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rPr>
              <a:t> Share by Payment Method</a:t>
            </a:r>
            <a:endParaRPr lang="en-IN" sz="1800" b="1">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endParaRPr>
          </a:p>
        </c:rich>
      </c:tx>
      <c:overlay val="0"/>
      <c:spPr>
        <a:noFill/>
        <a:ln>
          <a:noFill/>
        </a:ln>
        <a:effectLst/>
      </c:spPr>
      <c:txPr>
        <a:bodyPr rot="0" spcFirstLastPara="1" vertOverflow="ellipsis" vert="horz" wrap="square" anchor="ctr" anchorCtr="1"/>
        <a:lstStyle/>
        <a:p>
          <a:pPr>
            <a:defRPr sz="1800" b="0" i="0" u="none" strike="noStrike" kern="1200" spc="0" baseline="0">
              <a:gradFill>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gra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pivotFmt>
      <c:pivotFmt>
        <c:idx val="2"/>
        <c:spPr>
          <a:solidFill>
            <a:schemeClr val="accent3">
              <a:tint val="77000"/>
            </a:schemeClr>
          </a:solidFill>
          <a:ln>
            <a:noFill/>
          </a:ln>
          <a:effectLst/>
          <a:sp3d/>
        </c:spPr>
      </c:pivotFmt>
      <c:pivotFmt>
        <c:idx val="3"/>
        <c:spPr>
          <a:solidFill>
            <a:schemeClr val="accent3">
              <a:shade val="76000"/>
            </a:schemeClr>
          </a:solidFill>
          <a:ln>
            <a:noFill/>
          </a:ln>
          <a:effectLst/>
          <a:sp3d/>
        </c:spPr>
      </c:pivotFmt>
      <c:pivotFmt>
        <c:idx val="4"/>
        <c:spPr>
          <a:solidFill>
            <a:schemeClr val="accent3"/>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Sheet2!$G$140</c:f>
              <c:strCache>
                <c:ptCount val="1"/>
                <c:pt idx="0">
                  <c:v>Total</c:v>
                </c:pt>
              </c:strCache>
            </c:strRef>
          </c:tx>
          <c:dPt>
            <c:idx val="0"/>
            <c:bubble3D val="0"/>
            <c:spPr>
              <a:solidFill>
                <a:schemeClr val="accent3"/>
              </a:solidFill>
              <a:ln>
                <a:noFill/>
              </a:ln>
              <a:effectLst/>
              <a:sp3d/>
            </c:spPr>
            <c:extLst>
              <c:ext xmlns:c16="http://schemas.microsoft.com/office/drawing/2014/chart" uri="{C3380CC4-5D6E-409C-BE32-E72D297353CC}">
                <c16:uniqueId val="{00000001-2A3B-4964-BF9E-FB453A4FEA55}"/>
              </c:ext>
            </c:extLst>
          </c:dPt>
          <c:dPt>
            <c:idx val="1"/>
            <c:bubble3D val="0"/>
            <c:spPr>
              <a:solidFill>
                <a:schemeClr val="accent3">
                  <a:tint val="30000"/>
                </a:schemeClr>
              </a:solidFill>
              <a:ln>
                <a:noFill/>
              </a:ln>
              <a:effectLst/>
              <a:sp3d/>
            </c:spPr>
            <c:extLst>
              <c:ext xmlns:c16="http://schemas.microsoft.com/office/drawing/2014/chart" uri="{C3380CC4-5D6E-409C-BE32-E72D297353CC}">
                <c16:uniqueId val="{00000003-2A3B-4964-BF9E-FB453A4FEA55}"/>
              </c:ext>
            </c:extLst>
          </c:dPt>
          <c:cat>
            <c:strRef>
              <c:f>Sheet2!$F$141:$F$142</c:f>
              <c:strCache>
                <c:ptCount val="1"/>
                <c:pt idx="0">
                  <c:v>NetBanking</c:v>
                </c:pt>
              </c:strCache>
            </c:strRef>
          </c:cat>
          <c:val>
            <c:numRef>
              <c:f>Sheet2!$G$141:$G$142</c:f>
              <c:numCache>
                <c:formatCode>General</c:formatCode>
                <c:ptCount val="1"/>
                <c:pt idx="0">
                  <c:v>8</c:v>
                </c:pt>
              </c:numCache>
            </c:numRef>
          </c:val>
          <c:extLst>
            <c:ext xmlns:c16="http://schemas.microsoft.com/office/drawing/2014/chart" uri="{C3380CC4-5D6E-409C-BE32-E72D297353CC}">
              <c16:uniqueId val="{00000000-3EE3-4F90-B72F-D8D469C2D99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 Distribution Across India</cx:v>
        </cx:txData>
      </cx:tx>
      <cx:txPr>
        <a:bodyPr spcFirstLastPara="1" vertOverflow="ellipsis" horzOverflow="overflow" wrap="square" lIns="0" tIns="0" rIns="0" bIns="0" anchor="ctr" anchorCtr="1"/>
        <a:lstStyle/>
        <a:p>
          <a:pPr algn="ctr" rtl="0">
            <a:defRPr/>
          </a:pPr>
          <a:r>
            <a:rPr lang="en-US" sz="1800" b="1" i="0" u="none" strike="noStrike" baseline="0">
              <a:gradFill flip="none" rotWithShape="1">
                <a:gsLst>
                  <a:gs pos="0">
                    <a:schemeClr val="tx1"/>
                  </a:gs>
                  <a:gs pos="74000">
                    <a:srgbClr val="4F81BD">
                      <a:lumMod val="45000"/>
                      <a:lumOff val="55000"/>
                    </a:srgbClr>
                  </a:gs>
                  <a:gs pos="83000">
                    <a:srgbClr val="4F81BD">
                      <a:lumMod val="45000"/>
                      <a:lumOff val="55000"/>
                    </a:srgbClr>
                  </a:gs>
                  <a:gs pos="100000">
                    <a:srgbClr val="4F81BD">
                      <a:lumMod val="30000"/>
                      <a:lumOff val="70000"/>
                    </a:srgbClr>
                  </a:gs>
                </a:gsLst>
                <a:lin ang="16200000" scaled="1"/>
                <a:tileRect/>
              </a:gradFill>
              <a:effectLst>
                <a:outerShdw blurRad="50800" dist="50800" dir="5400000" algn="ctr" rotWithShape="0">
                  <a:schemeClr val="bg2"/>
                </a:outerShdw>
              </a:effectLst>
              <a:latin typeface="Calibri"/>
            </a:rPr>
            <a:t>State-Wise Sales Distribution Across India</a:t>
          </a:r>
        </a:p>
      </cx:txPr>
    </cx:title>
    <cx:plotArea>
      <cx:plotAreaRegion>
        <cx:series layoutId="regionMap" uniqueId="{139CA892-F495-4A29-B269-8901E6885553}">
          <cx:tx>
            <cx:txData>
              <cx:f>_xlchart.v5.2</cx:f>
              <cx:v>Sum of Total Sales</cx:v>
            </cx:txData>
          </cx:tx>
          <cx:dataLabels>
            <cx:visibility seriesName="0" categoryName="0" value="1"/>
          </cx:dataLabels>
          <cx:dataId val="0"/>
          <cx:layoutPr>
            <cx:geography cultureLanguage="en-US" cultureRegion="IN" attribution="Powered by Bing">
              <cx:geoCache provider="{E9337A44-BEBE-4D9F-B70C-5C5E7DAFC167}">
                <cx:binary>1HxZb9xIsu5fMfx8qCZzz8H0AJOsKpZWy5Lcsv1ClGWJ+5bJ5Pbrb8iSPSq2bHl4fIBroYGGTDEy
GJFf7Jn/vBn+cZPf7vSrochL84+b4c/XcdvW//jjD3MT3xY7c1AkN7oy1V17cFMVf1R3d8nN7R+f
9a5PyugP5Hrkj5t4p9vb4fW//gnUotvqpLrZtUlVvrW3ery4NTZvzQ+ePfvo1e5zkZSrxLQ6uWm9
P18fwSJZvCs/v351W7ZJO16N9e2fr/f+7PWrP+bE/rbwqxx4a+1neBfhA0aZh6TA8suPeP0qr8ro
8bGgB5QRDyMmHh6Tr0uf7Qp4/ac4+sLP7vNnfWsMfNOX/++9uvcB8GT7+tVNZcv2XnIRCPHP14fl
52T3+lViKv/hgV/dc3949uVz/9iX+b/+OfsHEMDsX56oZS6tlx79TSv/Lj/HevfqXO8+35r4q3z+
96rx6AGnlHpCug+yl3uq4fJAMko8KsnDY/x16QfV/Dxbz+tn/v5MSf8+/62UFFSwfX4VaEAzmGGE
JXpExUwz5MCliEmG0INm6NelHzTzAi/Pq+PLSzMdBP/+rXTwb2N2xVdR/O/xgdgBpgQLCQh5+NnD
h0QHAnEK4Hm0bHN8vMTN83p4/IiZJv59+VtpYrvT4678hYhA8sCTwpMEtvoT98FBRcRFxCXC/fLD
vqr/AQk/wcfzWvj24kwP24vfSg8qAY/+VSS/ABH0gHEpqEfxg7i9PW2AM2euZIxI9HXNBzW8yMbz
Snh8baYC9XupwI/jXdsmJtrpX+i7kXeAGBNEUvSsJtCBSzywTu5MEz/LzfMK2X97phf/6reCRmDT
nd61XzfqLwAHOmASMY+TZ1XCvQMqucs8CKi+/MxM1U/w87xSvr0400dw9Fvp43iny127y36h0/DI
Afdcgsh3NMIOPDBnYMyed+A/xdHzOnny6kwrx79XSHV8q3f5r1SJe0CIFJxzSPT2HTlxBYJUkD3Y
s5ndepmP7yjikf+5Fk5+K2yc7j7H4/9BBgjJOcXCgyzwMXza9+dcHCAhJMPYezBZswj359l6Xjnz
92dKOv29MsDTHcRaOxO3+lfiRR4QcPECQ57x5WemITBhrpAYPabocpYJ/iRP31PPkw+a6+b3KqG8
+ZyY+BeqBbkH1MMuIaCXh589aybIAUECckf3UWsztbzMzvMa+freTBlvfq+I+NyW6e7Trwu8sHsg
QNwSAq89LXB6ANUrwvHXBF18XfMhK3mZj+e18PW9mRbO1W/lUy526c60UOz9KpRfEAGzAyoIZVDu
/ebEn/p4DHqS0mXy0Z3MUPFTHD2vkievzrRy8XtFwVe7Islfne0+21+nFs87cD3mua4AADzVhzgg
LneRS/nXxR6A8XNMPK+Jp+/OVHEFxfTfqOx+dZvvyuiXVrE8fgCBFqNQUdzXhDxwXXmfzT/68Zml
+ilWvqOP/3zFXB3Bb6WOd20LHbRf3gSBIq9EGDpUgI9nAiwBjp4xTNHX9tUsBP5prp7Xzuz1mYbe
/V4B8PWtaV+pW8BM/tWe/AKfAk4D0hMESnoItPaRI/iB5MjDnNAH9c18yk/y9Lx29l6e6eb6/29v
/7ydfdqf2vuL/7api6AzAqkhmwVc8r5tBQEAf+xLzUpcj03W73PxvBoeX9tj+P+4Y/v9bu63XvcK
ilXrL03yJw3dHz/98nnQu5+9+qO24YOsDj//+Rp2OIROwkMIglqwWB6CVPBbK/6e5COdBx++2sH4
wCto5UMwAaXnV9tdd5snr6Dp+mq1K3bll0er5FuY8d0lbiFKhNXxAUIc0kyPUOpyYOP1qx7wDk8g
+uYehSACc8iI2H2QUVa6jaH37x5wgqH3Dw+AbegNvH5lKvv4CLIn6BR48Dn3JMW3yYbzKh+jqvwm
ysffX5W2OK+SsjV/vvYwwLx++LtHxoXAUOXzsMcIotCjgOc3uwsYn7j/8/9pwrRPIzaRddi/s2N1
Kq+8TbSJsa8TlYS+SP2Eblxzgd+Vg5LWn9J3pkk2SXEdDu0qCR1fdMR3s+KjDLtVFm/jwijrbLjQ
QVcLFZriMBafxoGs4jpKlU2ubf8RJe3aGTVT7nSJa0f1aHyDY73BzlEt7vTg59uQXXXoLPocl7kq
6cnYZqrsTytt/ZDdFSXzM41U7KjEY4c0bQslXe+sK8rV2Dt+Ho9BwbJUscH6A0k31AlclupN6rWR
X9n8bIg/lnJSrOw/ubJ8Z1r3bdFM8SqJuFAUj/Xa8NQn5U2bv2Gia5XtslZ5qVE46lUeN0qPqufo
3EvTyyifDjHWG3dEW4cUR5nLcp8VJ3jwUt/U9RtjdaaaSK+s46xZ6p7nXq6GOk2Vg6tbaknplw35
4KZOAGpad1W0rmSk0rDfEJNtRjL6uh1WKdOrPDOnOGnPW4bPvBDfZJydDxXw2o8jVbWH/hqS8V3l
TBtUyHVESKpSQTwVM14o1gHVKE7Oo6K2qpHGKCKSs8b0fjqcPoHNc3vLAxe/v7cAdxAnu9yD2j6H
rsv+3so61wxJ5cj1MBXvdOtUPiHmfOjoNu7ZGqo3zSrn7KjNyiCv39BiCKhHjttC2NXo4k4VpitV
GMpDluTbzHE3ie03Os1CZUN8jrtqMwz0EuyqVmlqVg1Ojpvy2LUk0HV57I0bzxHrcqxVnUxvaR5v
Be/X2pNnLaiwHpM7oukFzT44IObQUj/RxSZKs03kxb7W7arp8apKzQlk0Cs0VKtIO9t6cs811ZsO
k/PRlSeMRKfDaJUciqCI26u0Dn3YksEkj4j3kdFOpZM9ath05lZ9qZwqahTnQ6wk7MpsLDd1l5yI
8pQ3eeCEWtFCfCracZvn7jbqTQRYMq6f2elkGtq1EOFurOmmKq0qgKCybmKU441HYC6uEYrO0vIK
aX2qQ7I1Xn9VDh+nlA7HNRorPy09/qEJsVVOnL93UryOay9gKWyRnpGNx+S2wfqzOwCPXTG+iUYb
KhFWdCVbbI+bvlE1mz7+eJsgqF//bZdgLjFkWZD9SgI51VMLNFWuyHRfhmtWZbeRY69DEF+ovY+N
jv2p00ce1xdNmJ1NtnsTGX2Y9sNZkhDlZabZtA0/yahMV6mpD/Uk38SoANvVXhghy1XcZudp3N3V
tHxhdxM8390MLDfsbzDg4GCgmOju823qJq87Lw3XDddcpQgfhRkwTCt/sFOudE5VmMciaMEu1hHb
OgUYqcazO8Q3Q10GTZyPijsTVbrpJ7/mHPZshNYVSrbcpkghlp+NSXcJhjXA+XCepPaydrx3E45W
hUafIzpcFsSoEIt2VcW6VWGSwcKsrdaDEGAaO3Tn2tiqqG2dE1z0LWzGulV53V/EXXfeC3tcszBS
CStP4y5MN4zJjw2fPIWz7op5+ZsuJ5OytL4rnTReU1xf9a1zJ2Oc+yJhd8zJLw1L3xdTEujO5Bvq
3dV5EsRD5MsSOIiaQ22ImoT025j+1RdegEUvFdef+tg5HBOhqqJfG09Fbu+7XewnGb0ua6T6JN6S
cFgXtD11neTctOA9ahetUiG3jldmKrb2OtXtu8ZFYMfJ+ylr3kXJ8Maiclp1tvUnp93itPGbyN3S
prykcb91o0mVbXoTuvVlHrdHFuEVQ4D3lK5YKs6j0j2s6v68J2KFcnFZeKhTtmAr68o11Gf8JKKb
KHY3oPoT18vXfdeDl0mu86HZdtyuW177dDx1q5M2nNZmpJtW5n7OE+WZ9+l0GTLsZ4lYxfZY1tlh
WobXGkQYjDxK/DT0Nk1ZBCKb1nFfFkrj9i6LY39o2bl1yarR6YemmFolTVpuEcpdf8KkUSnj7XVa
8LdVhLVymmZV6r5Xsu7OE5reNDnplIPuElEcho68JiZXoVN9FpGzqe1UqqoKT0qAoZJddd422RZN
dJNW9WXRs4ssSo8JGvvVFDLVTHT0ndyD99uVrOzGpP0qjEwJnul9ivotHoZtYWOpsjIpVNgW73Bc
vo8MPRk0/itvRaUoe0+n5moobLuGXX3YhPxuQvg4tDFb98YylXvR8Tgwrmw7jisdiXxNyXSSReC1
WPWmaCC84NrdETPla9TriwqPu6yJS5XZ9r2b41h5Jav8RI7nmrTvukkcdbyOFXaTtZMdZoj+xbhX
+q03+ChOrzzD3ltkj91h+FQMk1ROma+8HG+dflgNrntesGiV0fCvou2V0Jmvibxg1jmNsg9TM6lK
WF+G8Znpkre4mNYj7HaS1ndTgtQIEhsGeTmM+Bo1SVC106H2movQ+dRl4k5O7schGlSEho1n5U1K
0CopeOdHlF6E8rbg4DLkmjhnWpzV3hnFb0p7kXbJuXaKlcW1YviiG5FqU/GuGIyfQdRRTa1fMqy6
elih9DZLxqDsxToz77m86mmskoEonN/JJF556IONLnlUBExoJchbp9AqMv1FZRFsF+c0dS8GlNQq
nk7cMFd8JKoFH5Uwcqj5hpJinSWZkikD//DG628krf2C4/etFYqNgOsMvRfyvBh6n+dv3cgmCmzl
dROizLcJXUXJp96YTWHvhrTyi1p+GjDON7Izn5yabRMdbbPE+9z1aetbGRcqq+RqbLJIUdmv0Nio
VlbiMI0zrpxOmpWIir+S0YnWAxrJZ0cjTwlHrCrMxaavpmOqy6s4avhqSr0rmTkfqnG8rrLpahrS
8ylsud/VOvFxiclh1Gb5usxFueastKuuLyHhmgIx8W3rGMWKRPuugHAqiodLhzSR0m697l2iirTf
tQzCYU8fsj70fNuWamL8U9F1R7KPb8Vor2RZ136Tom2ajtGqMhCayLDI1iF3U4WccJV27VWOJwjt
ijUE6idVje8yN/dTL4hadkRItfIqfZr1NVhfcho39Gwc20DgBq1IiKONJmOsSE+dVd/IZNVS7fiG
yHadZ86o/ieeQpRzC2FaTeV5hlJXQQR2lbjFez1FpSqqOIPdEF7g2DsC2STrUI6dQnU4qorz1uel
tcp1BCxSsMsv0cFjmvgYRT5kLDdVPeokih/Hsb/9+q+rqoD/vgwK/+cf938FCo8k7/O5vV/+lmp+
J5l8GAX/zsO9THMvn/5asLnPprz7CPj7meVeFv/t7x/SRMmh5eJxTCkmDGYrGGR8D2kiEzDAR2GG
z4U0FiIkDNnrY5qI+YHLOVRFGbQGMHTUILR6TBPZAWcuwTAwgDiMBkgYLPv6aXtCh6T68fenaeJ+
iOYgj0D8Tul9k/RpaGbCIayyRLJt7K0kfWM66Bl8+/7/gu79ek+STomSjpl84OuWxnmspgnQFyM2
PAyVP8yU/xfk7yO3J+RT7mRjP5R8HetG64ueTW50FQ1Tdfdj9qEqU/8nd/6PWCClf0pfFlMmbBay
tUTUTG8BmNJVMU6pp1ziFkgR3LTh5seLfU8HoP6nixnQfdpHJVsPBgushIsjraqRiRfi8Psw+7mP
mYWxXDZuncqRra1Xk1PP60lx2bupy05G0ZZD4PCJaVWMTX2x6IME7PSnH1QLt+74/YJdLvlwVMU2
tD4xNk7WP17gntAzX3RfV3m6gEim3m0tpus+M7w/YiMOkV9nBsUnNItTdOrZzGZ+Y5py5MrNidds
3DLu9PbH639ne8zT3kJ2PU1txIMiN014wYuisX/hZpLuUevEkr+FKg5mhz9ezLvX03NfO0ufal6Y
jEKYubZR1DW+QCLgGKLwDDf9fc2h7wplR+6cVH3kZWuLqkpAHhoJVMCszwI0i3s5PIFbHo1Fl9Me
5C0Q9bGu7jjtkxeE+Z3tL2YmqAKz0IuxpetxNPy9W42VCjubvlnG+swQ5SJNmMGarjOcJLcunDQ6
KZ0ks/4y8jNDVDk9rZuY0nXe8u4vr2+IGsKJLzNzYmaGdN6ndY0aum6h2jOt3cHp9IrVVcUXsj8z
PWiIPDHmKZieitjUHxmDmLFpALerRfJhM9uTa8y8cUh5oJ26h2jGI7mKsIg+LyI/z9BROjplZWon
KKsRqmQGRl1aiN8hgV1En88smRGudfuBimCqIDYbI+JoNSSZ0S/If79G+83P8Jkhk1VGcovGMKgc
MRWbXnt1t8770UtWTRITuXCZmQXBpApFXzs8aFuL2i2kTaW7nkovH9Z10vbDMiTzmZloqg5KT0Mh
ghpBoJ3pMX5TciavfqyL78lqZif6bBBeDyFUgJwhWedGc3wSkbFqrjMqsuEFUd3bhWeM7f0s5lNT
F4uozgSvRaBzMh46xeS+kZGnc/Xjj/geebxPvgqT0QXhsMDyBg3KTQfygU1VvV5GfmYwbMcrLlzG
gi4HDbR5VKyJdXi9kPuZubAJLsd8TEVATJeBDkYxOMq4YzItXGBmLjLp0EYOIH3pFU15WHu0hHpu
yqf+fJGA7oPwp+rlaMTGcwYWSBMnf3FhoFoNJaxxGf9sBjQ+agxjb5QHNSZtsm0nPEgVZ0XvLoMY
m0EMCv8Na5HmQWaimhyaAnVCpZbol7zxveV5Zv+zGcrGKI3cogcVN+FY61UaYc7PC2fq2FHU3met
Q4TG8n1eCPzRllFfLoxy2Ax4+RCFvJp6MIW5yOuj2DEhh8QhkxA1irZPSXtf1Zs6P4lZXWyyYYr4
ipEeV5ed2zK7UMAzgI4hc7jInDAouGNXOOl5IHiOX9gf3j1SnhMv2t9/tGuHpEGNDLA76Wo9eWHX
rmk4Tfm2lphDRd4U1V3tkL7YkkmU9AzqJKg8RVyI9L2AohZ9gZXvWCI2w7IoU1pXfUKCmocG+2yS
t/Uw9M0yO0pnQIOCCBNpGpEgqgfxgYL7OTOuUyyzc/R+9z4JSBsclanjcBnQHDIZ33qigCJ2okfz
wjb4Dgzux8CeLmCSZqRo0FDbH/sQHQqitftpqD2ARIxit1JlYutCoYnV0U1dTAYtlNsM4LiHOlSG
NINCXVhYVTfIFGq0xFloYukM4BOBIrplmq9tQ701G7toNbHKWS2yr3SGYhZKt0ybYQqMjdpgKjk0
aHWdvmAkvrNn6QycMMgXOwPkWUGKksJHrZeuwrFCCzfVDJuQiFTCS6opQJA3Kjf2rsuIvBTpfY/1
Gdw8VpdkyKMpiPjYntqxhCp13sRQx10m+JnnjFPb1liPE7QYC3mIuiFbQdeIBIuokxmacd3Rus2A
ehsi4veYG2UKL1nGO5mhWZRoEh0HtTot9GkybDvFMk6WGbp59zF1He32oZmCxkvyjZFl5HfQadj8
WDL3sHnGoJMZXsuQxtPkOX3QO/QWMsGs25A2g+Zf23O28AtmkMUd70roifcBBuBeyLZK1x6psmUZ
MplBti0hVukn1gcVjC8dCkntKh3LheaGzCDrtUUeiim1QWRycpzkBT+th3wh6zPEgicNs8zDbdBU
0FfzNUXG5/GQxasfK/c7oCUz0FJoemXOBJWXukyGo6yN2hMbhvlCUM0gC/VRp/Ns2m60hTmAS9y7
In9DtWDxsn2DZ6jNvKRrog4NELPZyc9q+mGUMI+wSDZ4BlqaOhmBYYVu3eQxdJONRTBtIu1C1mf+
F9fQIgtT0YHknQ8aQQBWyiFcplY8w2xWT9pxDHtknaAGKdqxpazP0UpFaEXsdWvZQ9EY3VM3ywUz
Q2vmdnWYG6A+pDL2rcisYgylC8U+Q2tMqKhgKh6oE3TbJCTfRDAutczM4xlaM7gCSCQREJeTLYKc
Sw2pERuWxQb3TZSnEdvQYh7mY9ataRv2avA6pLw6bBfyPsNqEdeorLBr12UHvfQ+Tm5tCkMUi6CE
Zjg1k27rKu7tushiohihH5zOoIXEZzh1Q6rxGDvtmjduuYJxrZ2xk1lIfAbTxsghhUjYrlMmY8XS
JFdWI76Q+gynHKdOlDjQxuTSeqcG2iPnIY/yZS0qNMPpYAkqCVAOJg8uoFJTKRhdOa0jzLI982Us
6kmSgppBFraOumAkRQkjG7imQd2j9mbZrsH7G95LQqQrGLAIotDkRzI13spk6bheRh3tU7c6rHE0
Uhu0En/0UvTWEPx2Gek5Us2YFuPotEESO2dgHj+MiC+sr6EZTmUCYxVeydsg7WOxsjG9qrKwWqZQ
b4bTMjOOlsLawEnaxM9TfsJR4y7b7PfHYJ7aL2gL97UZhAODCMPnZPSuES2OFwncm6FUJH3kgL8e
AyBrWjUhEzM1GhwtM73eDKddRG2cEd0GcEzBfU9asAPKJJO3LNLwZkC1TY7cPKxsUFR6WlUD/xQn
dbhQ7DN/Goqk4V2ibUBHPfpFUQPr2Uud1+/Ej1/GZ59YAFkyktQwFRjAULg8FSbyTnMnrK+XqXUG
UdSiVsP1dbAd4xDGnor+PRfJQpXOMDqRSqZhnNlA0w4rTwwf8kacL+N7hlHSk6FPMNB2UnNF7HhK
iXlpdhPA8kw2dj9V/xREVR+GUYujdu3CUJPvpOFJMrkL6wMwl79H3PPqmk8OgvFuV74pRv5B6DFf
ZlrcGUSdGOJ0XYFM8riECb9qExbxMkvuztBJ6n7EAxS919XUbXWPjgld5kHdGTDrkbasqiG3Y0V0
IqohKHW4rPPpzmCZ5O0Aw5/AdF28mzrrp/yvRZvPnXnNXKa6njJQIomzT3qQb8XEltmp+/uFnm4+
23TZMPasDUYDM2fT2KIgtdisljE+QyQuw6FME9kGxoHuPiqzrQzl+2W0Z4jM8sRQuC7GWdMEolvH
ZTsC09yLLCyc4twXC2zspsldcMlxwgZFDXFWUsLs4xLW4f6UferCdLwltHPWDbvU1UpAf3kZ4Rki
4yhuSBPDmJ0VMF/RY1Mrr2FXy4jPMNnD8Mg4lqFZe3G97XNotzc4bRftFDg5uy8Sba2bOTkQFzk9
x7a+ScioF0plhku4hG50GyHNWhf4nALtwXZLac+g6fUJx3CeBsrGCLsnVkTpUUMGtlAqM3TGhnQ5
xLOwUejE1OSm73IWLwqw4OTWvsQHaUmfSUD+gMc29V0SsmqFIAJKFpkWImcArfsCBuVTwFBE6p3T
d9fQfHi3aCvOh7U6jF3NMMjF2oiuGpslCsPljoviCCgI7UtGxx2HevQAjA/Dua3co6FrFiJUzBAK
s/Au4TE2MEuPT3MYOFzD5UpomcTnI0820jBzabs2cOv8LXFgGFfHi4IUMh940tQpxwgXJkCIIh8O
TGjfI+ndMnXOADpCR8GIojUwAcA+RGY4Sji9XEZ6hs9Bt2EmkKOD0cvhgFzFm01ZpMtGF8h81qmi
fSk7mK8JoIU0rcqpOuPYLOvLEzEDqK2RyWKv10EF8ym5gsN6zrHTuePFMsnM4Nk7GKwisaDRbvxs
IIIbjPi0iPR8AqkFxxPXrDJBxqKLoa4P3aJYtg/nw0ddKDKW5kQHU9fE666P0MrJy5tlfM/AmUwk
NHrITCDj2s/IeFaIl8LOez/29yAfjh3u25Qehv3zruY6iIuOWqU5S08bVg+qT5Ed/WX8z5wozcqh
zCqqgzzBH/OYXDt1drWM9AyiAwwh5oyHGvDfmW1ntKe8jixr1cEVP/vSiVBME40RME6866JzSkWc
+q9lnM996NDUmXZjE1CUkH49YQvnREqRx9kyJ81nOCVxFAkrctiSg/M2KdBV0izLxQmfYTRPaAMJ
M5AOR/m2dZM3IWaL2lBkPlSUizEsmm7UAQ4LFDgCtW+9qE8WDd/CKfJ9hSLeubRLYCeG7jSqUTcB
Jgsnush8YKkY4IzXYGIdlF3tKrfjm6aPllWH4dTDPuetJtYSCSIH83gMx5eOczosw9B8TEn2UW5T
OG4d8BAOsPBpPJY6WdY3g6P4+3xL2CXugDIdeFV3jr3mRLvtQr5n6NQJdCdY7zSBYeI68fTbPGsW
JXHk/gKKp+lnOJAii+pUBwwkoyTMhatmLMQyezgfF2rhlKWTVrKBvk3c+Bplb+E80bIQdD4k7LqQ
Z5XUbYIowQWcVIZCxdq6DlsmmPkoUppKGBtLR8CNHAtfWMYu8sSdlml0PorUpZSFMAzXwHlwjXzP
kDPwpMu652Q+hmSdUlR0qGC7VJK4cD+CGDMTKyG7bFENBzr8+7sG5mddGQ0lyD6Ke+6XUDwLwpA0
y/oIcJ3FPv0xs1boIqwD4Zis8bu+Lu6s5P3CpHE+cOQVyCW9dOpAx6NZFRFLFUiIbhY5vPnAERzj
H4TbuXVgc4Z8l8HgN1yKv9A+0hli2xxm4w0u68AQHsHVExPKdtk4lJFaxv3Mmw6JZrofQDZVnFYq
gXO6Q+4t83l07k5R1RcOtyD3UtTb0bhm0+dVvF3E+XzeqMMd3M+R93WQhnS6dqsw2hIu6myZYOYD
RxjsJEUjqFWWYWM23MINKoqGFWsWLjCLfqEZl1Vl3YHksekPtRbv4iZfVpuHq2L2IcWzAsEQsK4D
TtrLJDJv+6y9XCb3GVqjcOxxnkdNwEv5sax6uFQELvpcKJSZW22gZC4cW9QB1qn4yKGpsLVZ0S3c
MjPP2rrOME6YVgEgVSoGoy/KGR2+XiYYtC9zPTrQo8+BOu3gKhDq1UdZ+dIU05cQ9JmEZj5m1CRw
YUotUBV0LItCOGNbpmBseDJkflTIKNsW9dhf2sLkh9hghwVtDGeAr+CIG2/Oof5n9KXkBYMLVJK2
2qZZSZjieQLF+GhohNuriaSNftc3yLG+OzZltqvi2Gl8uLwkQSuPQq19zWs72FXuQZXMZ9ClHg5t
44g0QHCVCTkMq7Qffc+FasJ7ByZ74eYVnBq+wnwAmn2etNMmamRs4LQdmuymQGiYVqYrcPlx4ISE
5y1hTvrJeLRp4GQ1kl2gB/jeVd1OdJ26HRV+CdeZZT6DexLsNvKqCO5eESUc1XKbCV3CLae96hDT
h3Vi9P/j7Mt6JMW5KH8REmAw8ApEREautWYtL6i2tsE2mM3G/vVzoqWRupjur0a8tqoJp5fre6/P
4i/hUOTubJU0SW2mhKUnk9kELWzJIVfEpFYD8tmicFU+tSQDybmdogeokHTFVZJoSS4es22rFEIY
V+8D9Tz1BvoLSWiMhy7P1Pj3MuqG7FgWske/jH27AN9eDJcCzbYyjbtH7tkx1gqEpX7fniH+tDTJ
9XBxg25UPYS2u2xj2B7M/pJdtFdbslKxkuFCUz6gZRWUMSPFsbiwh6mRpHHIgqW+cKp+NYl432Tt
wUnPf58Xg2ekTcYYd7o2l7mQ900aHetskl2ITw1gNRHaXxcIvm2QyiggjyCj4eCc7GL8FDJCBV4c
LyyGhNQmxr+gbXUsY/1bMOwfr9IduLmmz8LhsrpVP4P+1d4NZFHH4jDZRXlO23DtYzpf2CSSxwTJ
N3gF6/LlUBz+W7LnH2OfFDPGaDNcRM7W1ykfPV4i+nw5OO27fR71beQDgkWlTKXbKZ771UPBJxVj
fWj8e6jXokbbBHwZLnio+svq5D4N5mOUiyTebXa92smMLhsuPCyAI1vmbJMVKbr4r2Nj3+14k46e
mDXWFzkWPi+zYSR4Y8/j+BgWI4l3m97qXkaQpkKCANu/cs1sd2rb9mCCsMd76cw2nWe4wvFGM1VA
lNFKBza8HJuc3ba3IdjLadsPYKJKeU+JSZeSjhM9hu9P4l16Ay0gBiDTgEjWr9k970n4FTWtO9YK
jnfpTbZBGQ9abKjSXLNdm6RZL1m4ZAc3/e52iolci/YW4LtWsWq2EFBZF6WOndk95Cuaom3dUCdf
AteTXxxo819ereoY8jPZg76gN9l3vBP6Am1PE1xF0UdV2Fib/uHt8D/o/cke+AU+aNNQiM9cvIzI
9EGL1gxVk/Wxru08BB/ACHsOgkJ2NbI4UVSsQDF65kGaDsdWf48PA5GWhpAjGy7WjTyvAtVBgELx
XsvzocOxB4jRkHjULLfI1CxR86BaBka4G90SHutO7SFiPlwnUFLj/gK/DugUbbazSdmJxBzMUaLd
8aazV1Mf4wfcGgO27NdPQO//ODY7u6MtF+WWAhJdFz31c7Ux8pdf0qMD351sNvponkWmLshtzzIW
93E8H2sB/M1x/MddrIIgZBYKIpclMZCkChI8NVj/7tik7G7ihcuJRdb0l2ad8tPKY1aqtD14Ve5x
YjaD82mPFb200xZ8h4oT+TEFuG4OjX0PFJu7pB+SPlIXpCvPmfEPcmR/0HK57bd/KRX3ODG24Z2R
TkN/mbeY30dyyku4uNpjl9geKmYFbXMjiLoQkQ8QJ83z8Z5na8+PHdM9YCwptoHQPlSXLO27aizy
O5FE7tg9sIeMQRCUsaZo+0uRcPs4TyqpsqUzb//3mt46IP828btDWljhjI1wv0ufjMiaw5kVJxlG
w3CiKIz6QzkW2WN3IMjRNHqZ5MVP2XcU6k8q45/+91/w71uH3KSk/vk+kJgQT4OgY4EhODRdOc6r
+WXJeEwbAMYiv3++Ra7c86aXl0LnDbo7c35VNF0PHSm4v/7+9SHu1s1PGHzDOGr8KNYlNB+OhQOy
x+8U1GcundHsiOwSubpv8fgLLdW+M4eKRWgA/D783NhGI42Ql4hTB+06qA0OIE8dipVoQP/+dUdb
VOR2DGoWsW2478IofI5jna6HRg9T0d+/nzva5JSw4RKuZIFGYLp0t3gfFkN9ZGsm4S5BVEE7j6Zo
ETDT+P26hO9Y1BzaOEm4m3lIkix5OGHsaPmmNfR/u9KvUX8o5kCG//eZ6REhAwGo6gkKts074wL9
vufpMYodpN5+/7ps+2gN41neEoP8rVYkvSxtmh+adFLsyjmNllfYqNuB5WiVDWP+NkhYe3BidqXc
6pbera6VgK1AV6wCI3b84mUxmD98f6du/n+Vc8geWEYTEm+UrohmdE3VyxhF/XrXCjNOZxRia3yG
lh6FYnQqt+ExcKgKHnXWjeoLHBOS80pjf82SAHrahW9WyB+4QIgX1adbXKlxdG3lGW/896Fx7Xru
Ne7cak277QdRSfJgdLfcu5abM2lWqDl6iFTwMlRt4j/wCPyWt+ImJPGhb3M91yjYILEbqslWPATy
87nTPPA1/vXcPpG4GcyPI8eI7AFxwDWO8Y2QfGJN1D2bQhSPcRuzYxcs2UPihkCkA7qj4hJv4S8a
j2+LiL05NvLbrfuPVBK1plMBteJCPHC2Mk6u8TD/Senituf+36sbpPffP76ugWJ+3sRl1BDTgFqx
l7YuHFAPtUWFwK6wE5f8y7G/ZHcNRmOR0sSk4hLogJ4SYeXZa8k+Hvv6LhJz16yoEYm4mCHhddD4
T0sX/2mebpP9b/O0i8JRyNpVTKu4ULm274GqTl5yzrZvWxcFf2gO/tdP7KJx2BQZi/UoTvNGBIV4
9ziNbWkmNNuvrQWj7Q9F9X8s+R41B3gCWw2V7MTaRYjzmm4R0GGBPLXK5zEMDQ4+O0Fd9vfNxTh6
J80kMWl9HADoRj8hEB3MqbJdiA4gOIJGQC8uEZ7jFmLPC4ne/e+d9B8rsQfRZQRYTg8Obi0gkrtc
CzlDcz4v8O5PmZHhIXQByW6//o9zneLbtG2zADId0PYD1519LsbsGLUVRje/f312xdi2buouWZYu
Z2CuYUbBoez/v2fo9pV/OQ57IJ1p0Yoka8QvbZInZ22cqvOiPVTHkWx3kEOqIykz2dSRae/DhpTJ
QA/O+e4YOxLKeVjwaX/z/CjGs2rjQ/Uh2WPoHJTK2rkQTS3a+CFLg4eRHuvikT2GDrDCmxBu29S6
s+N9N8/LJUjJ+0NLuYfQNWnGjSMBNnvE5pPWU1K6QibnY1/fndKwEFOTQsD+krWzfgDq9dPI3DFx
WLLH0DGascDEa3uRLpbntVj6u3CUx6CoZA+jC9yGd0M1tZe268Za8/wxyKb5dGxedsdz68JxnQl0
vBeVtNs5ju1HPQlxrKkId6XfTz8figWi931R92Z8FnK4dNNw7BLfQ+kc3zamGBIpuUDIvF97aPDL
9A+R9z/iyh5JZ4DO92D44RDNZiiBGqs0haLwsTnfXbAeIj2zWXQL1pJyVc/0MJbNdPPBOfT9PZau
UA6cC7hxgGg1+LjMZTM9DJtoj/EgyR5Nt9K+6bORFLWyHs+eb4EC+MPI/27V/ks832PpEuojiFMx
folcQMxD2KoUBCMGsc0PUEoaLm1aeFJmo1HpiaK7ZqtxEamBhKWm7jyuRTievIZ/xzeVpbG5NDlp
s0MdePjZ/L6XJdxXPMnT+dRm23ROmwUyvwFccA4t2l7hh9iYeCmW+USs4kBZLB9AqdwOfnx3DFc7
QiYnc/PJZZEvRSimKhMH49PNxfa3/EGsNCCjmU9eQaLBLu6vcOLH+ENkD7sJvFZjI8l6YkDM11Dr
51UYg751bNL3JxHQ56Y1CKaZjr/PirxXPD5GqSR7xARXqNgHnaynNpzCctNxc2oaQGcOjXwPCd2C
MYIIzHJrJ00Lu7YkzNcTnwUMQI79wG639227wM2NZ/U2cYrb0nVrX3EYUZIfx35gd/NMC9yUTKPX
0zpwfVJ5YmtdJIeePcgeE4r6ASY5RK2n6CZCZ9MRsgFJdgjsDyfB3ze8zkwyw1BlPZkV2t5yhvHL
IONjgFMY5f3+9YSvkGZY+/UUd5GuCFxESnRsvx+b9N2GH0QOg1fSLCcTw78jDwKwCbckPJZk7RGh
DMDnMAnIchoA8yoHMbFnmZHl9dDY94DQxGoN+7wRlnUFnuAS4dmpdemxidkL0LWTjQagApYTFE3j
N73axHca+uxYTr5Hg3pYHo3LihDZ97Ckg7I55ImS5k8SPLcj+S+X5l7lS0ZijMVA8jNtZGre8FW1
6uxoLKdzMmncgofmfw+magxpkqhDQIO1ZlCbOGVVv63HwFRkr/eleZMtC8XXGevbOgeSqioG9/PY
0HfBTHRYAeAZp5PetKtaNXb1rJpjsWYPpip0Ei4qTaeTEas5K57H8Isq/LFgswdTOYVyw092Oi3c
y3M0i48+6tKDS7qLZJ6rxA/o9Zx0zrNKya2rAEk9BvvHq/7vkazPXLZkeaNPgQqmCp5nfUm0O6bc
BAb0719vkkROUUf1qV3Gm+GbunmhzcdUBckeA7ZGDi1nGF6du66HH1Got9cu7P+k9f4f5cUeBdYQ
a6MVYOVTOkXgo9xivI6jP/UI/+vru1oXDjdoV7uiOCcBWucm+DHI/sOhg7RHfwm4ujawtIB13kxg
QWU8AH4L3+bPxz6/O6eRHMjgw6k4p1r1wLB2G+WPMMDr82NndS/3ped8ReKki3MBr7uuiO9lePDy
24O/IMQ1Li7Gp2EGePI3PER/DJBI9sgvGCi0Dc/G4uxv0kfCRkmV8NyWxyZ9d0y7EAZ83g1JDRWu
u37Sb0J6TE2Q7GFfcG1EyaRUUlPAH7o+eEz69u2hUf8/kC/ICPGJ9Ekd0xV2homW4F1zq9aPx76/
6xn3Oho7uQ7ZORki+IT6ZE7ub1S9P+kJ3g7jv1zaezxXGwid5LahZ6WD+Q7ulEY9z1nI2Ak81ay5
MuUtf1p88/9RXP9dHfzbj95a8f9o9WYubnrTjRKVwmb7rYpkK2N9EgKnTp55s8G4coQTJK6wnoy4
27fOTX12HaSmXJ1RWHdCldIL4668cUHzjRAL2F0fAtIqStI5b22JgkePj4JGuX4yc2NhDbwFSTaK
cvKSBW0ZkqIlMGhbMo2iaKBYOljIjQP7pieu1qhMRNaqK/ECcs+1Q0GfMRjNGTtVwpFuew8JOWva
MhVw3YHMt2u3uS+jYg1oUhYO2u3iLtKCQpteoWcJw0/wCuSKAc7Z0H/UsULu2GVd/pfSCv95WsfE
1BRwXwJP296Iyhgbtxfv1o1OqJfJ3H8b0LTN1nKbojCyZZpTxr/0bSKKH4qt8N4BkdMPkyqh9tW5
zzeQHlxqldvKHqJRc2VtO0eizkCcbE4eTzbxKYgb2AQ2OXZaURlqXarq2Pg0fIhyQ4tzm65egRc2
Du4OMv59lVFtKGwAVxhXhi2xpOIZHZGF5SqvcwUB3HIbGR174De7gbN6KVBiZRU6JBsbMLKxn7Iy
j2kG3ohpL02SIW1ELKFqvcdqDbwtpxyZXVlEgYSpoerjr+MC203r/Jb9WFvvyFlPQwob2CnO6Ssf
4yx7JktDyKNveL6yWnpwVJJzYdcIigieZqt8AkMjx3rpttUYHAt9wdZzCFVjZGMw0PXizlGy2e9j
rtoBztAGzeBrBgYSfLC3bJtdJfsETmIsD24ykHKVvQ3AYvEAbUFBJ1vNenJYy2G4xikaafGVih5O
eIKK4kwF76uBblZNKGBdMJtbZmlmWBTP4mQnxKhnOrC1+7BtMetzbIchXs8dSeetGhiHEzT6Dk7W
6HHw/Eu+kH54KDaPJhBPw3WbSqsXNPPLIk+zGBnUshBCqiIlpHsbiXyiZwisiO2hj22Erna4QFvN
45l5MQzcrdDNdAGSk0JkLZTr91gG4MxMJkv0+yxVETxKmzntvqMPkkscGpUMpp67dJifxRoy+gHw
rFGdO5eBJlQM4ZDe+zSIxWPErfA/214OKxgzUzAkzyMOLT/1mrv4qlXUjZ94oPIwRngTjKZlppJC
P4fLIqLvSdc0uSsbVih2sdaY9D6c2mT43Fnq0gqa9yHY6MySqIC0c0rlj2axDGaQYhT595TQUX8C
u9zzCq9LuLtAlRjcE1B9c47/eQiSH0M3GX9VsXbug/BhFFWa4yTBeRPb/I6J2D8vRcjOYTzm3Us+
rRk9hXmr+btR8M2/seBIxAFeoqEbkNc3JWJ6ne3S938JvNzwh46OxF2GoZPNZYyLaHpYxyKLqy6B
F/uXnMZJ8TOyonkGhTy4xzOS/wF2iCo7m7KaQSAoqLfW5/YeJg/G30E8iHyWRZsUtZZgOr7NHJf9
c8SaNrraoV3dKRh5t90VbgrpJaObCD+FtBHNOz4WTFfaLQE0EbuwmMFDURRGfsbP6fQ0h34Jr0RT
LT/CWaMZXta0yPg55GLI6mXrDGKnTfOJn4GfjqansTD0h4QmQA8bdjjuvPAtnBBK+LDZE02HZWJ1
iNcq8yA6CByfG7ZqMFSCzLAPPJ+L5Kq01rRcmmCi3zkvOl2xfhZLV+Z91IQwB0rIdp2lmpd6sXEY
1Mvcx1HZS2/1F7IUGEGdhiyCnOGGUbQBm2H/vQVzf+pvkjwlBO28eB4tiGmnVE8wmw+dpXA8Yz10
OWEFQZ+QLrFfDY5wVnXyZhhNlU2HT26EPyMEjpSC5BkskL1vr3YBS/aDgz/d1JR8XLIN8d5rOwxl
t+CatiU63mb+YVdD0ld4ZEy4EATUaop3El+5LaRe1ukEE0e8dJ56Gyu4tBvdpxcJO2FxMoYRGEGz
aMn9g91mhg7mBuun4i5sHHJEMNk4v84wPgtKP7Vt8J6mYoprnsB9tp5DExV15rzvXqfQk+7OLN4W
l1UNsA4dbdy4RwLnuTdhNHfte3SRYyfKVsqlOEM1ni33hUAF8+zQhcjPiWhx3y1Nk47AeSd8e1Qs
7ATMZKdoqRI9ZQF4C9PctBbsOT9H75ZQKJAx+mRZ3rRbmMV3A56Mu+cBSnctXMRdAocb6IqXo52K
6BqRYl5e0nkM+m9xu+XykUoyY4/1XEn+k8jcYycoSLbNp4HlrTnjL9u6U6pEMn+kwvDmfmZtR64g
0VL5tE4xTLFOCEeS1vAyIs0vD6lkaJrPvEvv5qFlDNhmkJiwR3LoKN3zbnH6TneKADMcA0McnmYN
18PSLK6P3+M381cT8WX7KiEaD056EfMhqUbIL7IqQHxqqq3R2/supgu5ywsNrkva9wCrKjPlQeX0
usDlbRrsBgKJyaIKDwo5f4PhpunLZh1r74I+TvBy1DYiWD8o5Yf+HtBd7pEV9X77gVtjhr313IZh
9Pb2UkPCinDYcj952KerGZHYu+aad1h6CM1SOII9WgTk8QXuF/BHDxdeLHdwjC7S2829cWgCMEzj
PJewyZV5CL065ldWja117i0pNlmUcBrL6TlLFOJbKYjtppdwifLxm59mDYN4uZgtvbqEhNtzgt3P
P3fzBo8Y/JFkaF4EWuP2XS4wifc+7qat7smaLne4/wPNMLmxMifrs8zCs1csg8diTsycjRWB+phF
blFvDObM3I8dEHgvcDfmbZV0fJg/bzqL0y8qzlyuSiiEhb3GTBHJfvbQTA3fQLU+Kb4NUF4RX0c5
ihj1FQQRSaW6uMvuVLbMDvkbD3M6lGOwOlyFcsP1gWwPkrE0SE1WzxBpGBxgo1nwHaryLqlCXOrd
1a+j+JCt2N8nEVpJq3bzeH9RWZ98SmPgIiri8qaDu/mWZDApHLL1AjvdlJqSbKEanzUfOSjHEeQ7
z7ro5PBElLaBLCkYWN+6YVw2+Pa2iXmJ+hAe7h7vrMWHJO8tPxsJp5w3Y8zJ53yGy0s9Jw1aAXkb
LPTZ9brJzuHU2fgF70+kfydFNvuHqOvHAQEzwdkALB5AtfwiIKI6PTVKFnqr8iRhbxyQL0G10VaZ
d7O3IwjR4L3GtoKMYSOqrIha/SJm9JhKrpgcT8SBVyvPoKhFp7whfV9PYRNjJVouo6dk1TcnVzrf
kp8caF8OA/jcpHGt1jGM1lL4zX3qcgnVpNIrEP8+aJDbyCub6fA49SsyroqzLqiiDqpwrkJ0N2Vm
KVk+xStkD+4YtRr3fbaFSNMJCLwwsnckCZZriyGEb9ehh21znNKxFo6v/UVsOOpf0nCy5hxnQkZw
JpkgeRYlLclrIoHELGcS+XOBy8gu5ZQ23fy8AjpV9JWiKpOPYm7cS+5uBqh+8uRhznMRnnI42Gy4
RpFy1JNPEPatNAG7Ctqny4dVNpF5109rVKEtPcZfnWysqRrLkzukazCyFGDRDHh1K6et43d80RDW
SMCrxmVLKu+XQpcDzJBovUxhfMeQD3yycNN+gAk6Wue06Ma54lFMGTRbdQzr9qSj97ll7mcC9k/3
FOPoqIvvZl88jUE8vQktJF5RApHlkdE89sidomR6YwINJPmyZRUFjfwJLXSQteEnSqBGDibvk5vy
+ONg4aINU2gqSqW25cEIWbwwCwX9WmAbV+m2WhioN+1dkiTF40qZu2fRJr86Zrr3BZFT1Yb0rUwn
9THtir4oWahnwE5WKcRYbmFb2LlkyHbd2cHezd1RE7NXGm36fulcXtTYzrRSfvXbuZ+69N4Bvph8
tEGevWfSArVQx0ufBXcNLNMtbO2xc3PQ5B0Pf7ZL45aPaUqpK02rthxQzshYV7c3PYCrdJuHbEo+
RU7DWXcc5xh1TEuGrmbURMG9iRIQmkGftuH9xKOmeJ6DbV7OBjz/8NVTGdOqcIlZHtZEp+wrMlc1
ntIlDuI73eo2eew2I+G/ynojSxvpKX8lq9Thy0jg236CTIPrIUkwU34dYFwuvwQcXsJdlbo2betw
7vhSrmmLVLRY1qytJokcxZYNCeCPfvOVX9sfW56S8dFsg/HfYUplkQ7xJU+xuyXOVqrLDoSh7gQV
nSa+TLlsu7dbhNr/NPQJUeclQ9ypUdGw7Dre4HenMVMxeQGppksfgJ8lUR0VW1pcI9Cmtr9a8APU
yzovuQ4rVzDD7+dxJiEtISiS40XKd7F0b1EaZzGqYEA2/cM8yxlxgfeZjZ60wpF8L1Cs2i8iFcU1
GfAqQWZlsy/RTETwVeFNC2XyNqRwKUQTmlfYHUiWymY1iO7ztG61UWzKP1Fw+pfX3CK2f57nsYi7
Os3GAPdV06eBeU+t7zZWBnGcEVjWN5OqiobI+Hn2+eb+SkD3lz+nFmy2U97B6u+dk3wrIDiQDtMb
eDynYjv1Buqul6IN4uENxSlDRAzJNOYIT3zL0CzkPej7dx0Jub0jgotQ1YmfkAKUklLKIAM/oP5A
xteNlTP6lovAxmWxb7tlmpi9FIKJ6VXOwWDOQxcsxXWeizXFivnCTvUYy818FUUKLhLlopi/LlaM
5qxZqIKqEGv00I6sodWIt8fl0XVdwrAkWQsy4IwuezVpMyIpHSnkZF5XD5VcCAGMzePA4vFimy1/
N5LYLcgOUu/1i5NSlhP8NEuQwthK4C+Wd8PZ2Tx1FYMF6Xr1ZEaBxos1K+fFDoEul3Wx89ssshn/
y8DaJD95EYa8pvZ2r8I+Hh4Tdw3S7McW0lzYdSRS5L7p4Gn6oJkbPhU5JqEmy5JEsgxbvDK/ztJ3
AbJUFwaXzWNfX5AHRNn9giug+2YtaS8oAaLiywCJ84xXacHC9p02KeeQhI4UbdcSmywlVY6o6lDN
BSDO+YxH7XPe2dBXEw78RxGl6iSblvY4as16P4ToYDyhX0HSN3m/UXFvzVR8RyfmM1KPJaawVKGA
gA/wiInf9TFrvkLPomtrphAU224ST8sSIjPzEBixV5nlvNLewXAECPrwrs0mIp/GhczyaWrW+WHV
eui+wbN5+RWMYp7rbQ2wjMmWvYo1uT3uiBx3+5bYV4pcYqmZH5GrA9e0bKW0mTqDrFzQstOWITcA
bMHA7C7f0K9FJJzR31m6ZwtAPywS81unB8Tv6VUgGSvjFAj0K1rpxfxIxnwM3pAMID6AgrKemauh
jC0Si7K6cAaju+na0xaSvMtOXU7bt2yEN/wpAlFg/GszsTBVwNG5+gq5AzjITmk+J6eexy7G1mzj
91OLeuTi+m4u4w4BVJdmneBix+KV/8hTNcevxK7cVE7NEaqdLJFmKzuTy+BL20bN9/yWmtzlG1jm
Hx3VvxYhlwTpbjFGSGZVIta7Ap4geVXQSf0aUhzZModlRwVbkDA5ySLJ/27+CeIxCS4/Qd+ySVDK
wFT9vMWZzT5rFhTgH7dFg85gUCgoI80aUhw1khJl71M6DD+k3EiEOJfwrn+FUlvRVfHELbnrlsT9
ROnM/MMk4+aX4tIXKSy5nYkfFbfJ+DFoQpr+imCZkf5EacnRGelY+lgMk0DsCLmrYhaN9s1UNJkG
1QhvSwmjLHzTBpSim43UI3xILQRFz4WZaFxviw/JyVAzm1KqdXsPTeQo+aSnwrwNgmT+lDdZ9BHP
7Yu/DA34FnfBgMJ4k2ozJ5rkEPT1ndGfMOfioY8EYG20gyc2NE6S4TrwohirVPfKljpoxGcwdbdy
TMGT0Tqx9GHadPAmo3Z7ooXn+XloIDFykqnbLiNsJS6RluE1gY8xYl5P5ldesNS9aDaAPWwM9H7K
dFyb5b1dIfH6FRocKM5mZxP+Ga1hkpXUOMxDbLsOYaEgERmQcWTgH+fh8pFvFEkiQSuBMWQZXRpA
HjbzQT0BBp+e0pyhb2LheA6fkmzy7SXWoX6F/Hon3sX5ABL4BgeGdy0GUpLWRHqtELbdYssJvTHy
ogXPkopoDOfjMDR2OHdj0/EqTjJtv9+wrtehl0o9bFnmJX5DBPM7ESVWvhCWWSRsriXnPNfBcAcI
ZWbfohXdnxAm+v48pWk31zE3MgJcDs6tp8GGCCLQgbnHWqAd0eh00Ci3LUDLxrnl3RzwzlR9ukby
PgiM8hfIj/mfQQrbpFLCGvKB+WHD8WlyTIew4UkUyVqN42LvyRAh4eRt/+A0T98BvTyCIQB9R/Q5
INRAkqz5HHjAyc85GDLuI/pMm8FFNIfRzyWfWJzBA0d4tAdmuer+2uOFov3K/TirCisFwnsuODJz
RExpVMXHRkO/HOJFxRMk0vKsKizV63UbkhEG9fDNhndpY2jelkEK2cOzLcjtEAadYQzuiiMqJgQf
UXd+Lux1ASmjKONhWySOMd67fq24O5urnpaQ1QaK2iGQmCpOotchQYZWG1tMvMoSQ8H1WagTry2F
0ksdQm++/SzR0EhK1a+cfww3j+jBgoBG9zSLVFqpIpZxPaAbZqqhN2htleDlbazuwOMKXxI9Tvlb
GIK0pnRQgdan1TXpULrYJ8hgCh0tP4IJrgplCqpH8RZeNia7cKdt9oPij7KfZiSo9DGdI5lVicxE
/EYyG0I0WaMo4O2s1DsHAr84x90cKlem/4ezM2uOGznT9V9x+HrgwZYJYGLsiAOg9ioWd1G6QVAS
hT2xr7/+PNXtM+PWTNsnOtQXLZEs1gJkfvmumO1HAMxErTEH9R7IgYt6Ziik1zxqKKP2uuiSVHq6
Hgxbn9XFq8FpfVlbE3npddJ+6MJKkztzjRRSkEjP1X5wR828x6LmSO6p1lon+B+11Fv6G6d2i7io
LgNYFTF8VVPZaRQkrr170ArglDe9KG+fkOTgExqtV2f4/jiAlXcD+GEe4K/ou8Enc8gwT7o0BYdL
0Wtqn6KzGL9O5uJ1YSRl1O8m1uspbEVd55vCstwmNGmk6XO/acsl2XIaLLxTZBO/hviyuNWD0ZZW
hVmSevMx6nXHDfCJxJ4ISWLQuaHSqITPhgqt4qMcZ2tlZulrew9IUMHWN8x2Pjiskft489YsbLgM
iq09D0bz4aQiLzTODobdWzTRE2Lyo87LAj9XDkPWs5mWzIl2oBWtt5NmbS7zITdcy30lM7rszxNH
+7nmhad2ZjODzFZ1FU5azJ80Xo2n+YnRW9WwvaVZcyAd3XW074bbCfoUaVU+M3yhlyVgaoni+LqU
RsdhpR0syQ1u52BWTgDXIjit6l3pqW/pwukaOdXilPpH249awzDgCA5MVY/ddqStpmqPnVcN7lWw
eMSMim62fs8T2IgvWTZV+daObaVNvLu1pShLlm36YDPucy+bnmOLbc1o1HwktS0m1+8Nj7TmybEH
99kAn0upfwH/7796rT3kr7U2VNp9FUP4PIy3gyqJBYtbmIEzNuQaY5ur2+KQlPBeXCR2bW1bh4OP
3NCjODQnTKmxmIIVDqnipJu2TuqEupC9e5pqmKQz07Urz4xFdvekiixvj05sTdVBGygz/2LpeqQH
8jazbYeq1Aa/cMxJO1c6AU8P2tANKWscMfSBx2SsNstQuu1d2vUYXUqhO+PzWqAiC1y9g+RJrUIR
MdPGWv/NlV0dPVtTx+Kv6DfIxvWorfRrM7KSa1gcpjq2FuYpOqgDw5n7Yb9UyrP2LSj7tCtyueqv
oIpCHNMcJjCo9RIBwAbrpt66IdfmCrZ1Q9S0bdOa5hBYssw0n3vuIutuseEaBfEYW91AWt1sU82A
75EKimfxCyrWXH9p5lqEbeIIe9/Pg7fua3vWdEWkmzkNHpheTFdaNXhGdhZG23WvoiNV/cOJ7aE8
M9imzrYQyeA9TRPUTFjEbhbjTkScep8qVchTFBcqf5pc3pjTYrp5d9QHKnUuI8/VpHJ8WcV9Njhl
fJyz1stfOOil0RjoA9NyE2aVWwJb22S0pXowcDPXWkD2h1zqEB7Qcb1tjjT4FmHsfCbBUO+MwPMI
wCw3JVRQNxwYwFre2N7J6vaefVoBPCPGgUpjdvOWJ4u3HXOVJ5J8fYE9iebtyJ289dbVOXOIltrJ
1CKPwU7qpNeZNxrPNXd6JmW9yzOnEee1qDC5GuZS9Z+ndPAIrcgHokO2fVzPS+IbkxQOHKeJ6Epv
OncMJMBG96Uciay/r4hd6MztLerVANOYBe3rbrt6YxZ45TTl4VK2t0a5vpN3oo1sdbAxl0/7RtWD
FcbjUquz2ZFTA0Sqw7dWS+sM2xQQ3/C1zjC0LRxln4aFG3scO+umq5mQrDK13meHmvdTtMbZ/Egk
g92DvSdRu363lLDir3Ve6cVBt7A6HnRQ3+aCQbvtnwsiqZltlLDns2Fr3fJjaURWn5cl1joAvtl0
g9VjHPHBlwe4lbTrEPs1vX0Z9LKbgn6hOPTQ8hSycFhNMw/Qxks4c9u+KRpHd+shJr0rRpqBX/Qp
j7tL26+GOjrU3q23T9uJ8Dp4/UJ1e+fY2VdgPs0KM+FqdUdYK+eZoFNc7eWGyTpng2QhvR3zp7ae
rp7WjlawaJrRcrO4TYtdoha3d9CrgauYJFrhXTtnLDSc3amTfh9u++N3Z8CpTryBiA9N5S2Gr7Pe
FU9W25o9914syqb3a7fD6A/ERFGUk+ipHlqm0JDXWHET3ZmJ009bllGyEMdCpeNHn831fK5WpxSf
2nmQNoeXJhuOy+Ks8yfXKevxestwtPZdOUR+SdhN4zONxjewvJ5H9lwIzHt3WTzn2CU4De4gSkoy
GJiNV6CtJge1EhRX2qJ/x7jauD7GInPazLLOQe3aJnlEJmEwEY2UMj9mKBvZF+nYILvRG93Ie3Vq
3UPcq3T4rHGnorapej/F72f7lYuOwArgvtvhAyApBrwFsNH7d9CKNdV82TO+Zr5gle3BEIsKt4dP
SD3nzu2MPZRyIDXbMvmMw3oZWn+YKLFpduXYizQLpob8cOZQXc7CCFsrQcoR/lvX9sTzasLdwVRZ
faCjCOp8ze2bKCAo2Xqx+GntNE5JXB+85Ib9xhy/5/q2ZtrRtTK7dgNasA7oWrVIO/xbNMz6vHR2
sSeoe55DXWbV4K9LIq4QVmoIZYT5+48pmH5OFpKLrcpKdcVG994y+1mOf0zP/HOgkCisEbqGx7XS
RxfQIhV/0ELzc+lcReChF6WOs2Wb1AGRvFG/dKzW3b/w8P5OYBWUwW+VPkBhZo8iDWZC4/5rkirt
T+WkVcQIdm0N4GSOGbUAjteY93MHdMsBK9P0oNJmPqd/LqG6qYr+N7XRT8KyGIpmTrXW2Va0mRZh
io/ggniwCZjXoB/h4tx/EX7xe2Kqn7SgbdNxqaEp3hII0DhP/VJFQ1jHzLnhxM5EOimJJAVT6byo
f/EO/47I8ud0ogx9GLuJKbbSpZOjJ3Zm04A1/4sX9HuP/pP6rKbRr3MST6AcKb/mrfE6uXX0x6wj
+k/yUMb0pqzjSGwXaj/8pF0O6VBYf/DBf1KY9YbRq2qQYgsGvYFITf3IAHn85xfU770rP8lDo3lM
e+GlchvrWseePka+kbD7/7FHv/3WfxDHmXltoQ7ifTHXkmze3qNlcq2e/vmD/84Vqlu/fXDZGuVU
zxmXS+J45vcOTGkKdLmY9Aq5Zln79YAae4+vRNR/qJ7P+jkRJnHjySFGSGypQxWf7Kbt7jIDePWf
v6BfFtf/5e7+OQ/GyRYLWCi2t6XrJSDQnlomyBX+fCxGL19tJm/+RdmGkru0zp6zNX02uNLEPurS
IeGsEicb2hm/z6NFdbPfO4xkvz67f/82/0f8Ud3/+jy6v/0nf/9W1Rz246T/6a9/e65K/vvP28/8
1/f89if+tvuo7t7Lj+7nb/rNz/C4f/+94Xv//pu/bJjL++Vh+GiXx49uKPpfHp9nePvO/98v/unj
l0d5XuqPv/75/XuZqpBDT5t+6//89y8dvv/1z4a42a7//R9/wd+/ensFf/3z/1Hfk/b9T/ft+/eP
LvmfP/nx3vV//bNr/8WRaIiEJ0wDa/zNMzJ93L7iSL4CDiENjxQOvok7WFF9mvCrvb8YUroOSiyC
v285AV01/PIF8y/ANhz5eThpm6yF/+/p/eYT+u9P7E9qKO+rVPUdj3pbrP/7gnLs268AKjc8jzJn
V/zsd5aE9o0GMQTbdoin7ikZXPd5dTRVh6Ly5JU6MbcLNYPzl9Lnaov7IsMDTC/aP7xtf39e//g8
buTTT8+Ep8GBx4NisGxpub88039YEah0kam2eOamIp/vNXeXAbjEiw5jTOsNJWzemXgbf+WeKiMQ
v7oa9m7haRsjm8Wef0q3mpFXuypPyi8iQS2nEhBG+Kg0pQUhEvd6j4KEql8zRK4/3CVZCrWcNSLf
2JyMHpKOeTolL+bgclgPtEZbAUvjItpobT6FlnCWjYrhyZnIpjcDQJQjkhQKXmDxThLibPE9Ezlr
xvcvPooc49BGcn6v0L4EQ2bfcWLQ9phtROGvXW+9o9guLsLCMexj3CZXlyy70yz7IAV6+2pZ/frd
yFvx7HER7FDEjsc+n7r7FEFB5mdJnkIyTdVXbB/dYZBje03s3jjqlWGGEnXoVnp2fw8eHIW2MpeN
nlnHoqr3jAnojWCtX1AqFQ3IEDYRm9XqzRgiD/Gmbr4kNEhsBybsQ6asyF9Hyzw3Saxt+RZ9NzuR
DKspafedrXvnWLOmw+jeRtyl2FLltoQ0RQ4nFHgpSI8db+qpqTfOgHMqGBplbRdnEpsI6gCnqeyf
RaPXoZdWVujETfKE3lS8OasbsWAx6lqoivd1Z628tOZ+zZfFL6U2XeIyz54H6hw+TRPcYMbxcm/a
tu63lZluGnpYA2ttx+9NmbkbWebqwaaWhD1SasOF1o32mMaWHRrApQi0L3bS7F2lndwmYc+bNYSk
unOlcj1ZfD2PjWDVQdNLZYLegrQ7ufJ2Ocm5ftfJ23F+KfYy0UIVrXnQcXTrZHdPbIz0i4QzjzNg
FkUUm+6tkaAaEu2QyeR5/5Zm9Iuorq8AiuI+WJSmfXXWZt64o6IjTCD9u0XtweppOMxuItoa3vj2
f/J7zEliB/gWf1qh3+kpNcblEtsTNHhSGQ86nM39UI7zVa+1NWiAk8JpxdQAjHZFDwdpXg7rro77
/qEohNwVhb0+2H0Ec75qaVBawKQj56D7fEnVlbk33lhmKjZIV+QBNbIdiKRBEKJ0M6B1tN5X2AZf
C2VZfJpOg4AxRwDrlT8szjIbY/LKZ1TQ4G4cgUMegwSppJH7ccbANSMmOlSid3dKxebGUotHBlfp
xEGped6mjXU3mJGhhW1spfsWimuTx4s+k5xYwdSh/BXbwULWxBIhudc60nS0eoYDV+VS7jP2wuOS
OJE/WLO8olK0HseZqUB1d3O9rjtvrMTFrexllxVqDEHRjUvsJlePRWZjuvZVH8qgSJC4xboaTqNh
pd+Wqk1+lPE8BF7BUG+QnHVeEE5cV8dq3mJW/T3SB3lsSei+qMnuD6saxVYj1+Pa8bSDBvb1MUaT
8G7WbnqUWS/2/TQM31q7aB5ZmV241Kr9YjZDBsaWRaB4Esd6DfylwNpjmR9cWwTMOu2NwRyGZSfW
ppxCdEWg6F3dDFtaq6et6Dy3viPPf1IhVqvsMgDfhUmrZdssBk9IKhe+nLLoJDDggfvQbHQLk9cw
WvSwWJMMxzR6RXsUXW1k4yuqI68yfRRQfM4e5x/UaoY7PKAYkIVv6l372jX1GuRGFF/p5iiPbH7j
JbLQvLCmLbtuGdRxWsrkc22ocQzcuOW+TkbYmdnycjKiJhUHJjIM65zUuTjeOhPsjVV7HwtK8/hQ
K9VspqFXRxdJ2ptNE/B+zSqkmSPBQPC+jtwpGJ0VqbhX/0irfKk30dr2P5zO7fxoXPu3EhvDnjLB
q0q0T808dXul6QaCfOTZLlPj6teF4ZU3zqPn/l/tz1AXkjKNJK7eiAkp0GQu/AJ9cg7RBAu7lKU6
JGY0FeGvhgMO9cU94vDR2JURWpKDzJbRO9clQssPZHjd8Ghkpf1ELoU1b/taq987boX3KDLVa1Uk
2gWPgUr8qGKD3hgtv630VnJDMkTmbFKR/RqP41teetppccUcnXS6bQOJCkQGogd2/NW7QDCcdQSJ
th5/NTCQ5QhOnS7yh7GY4pGtkHjKycmK7KHvuuqARCZ9GjjrPSUGvowQ9tcUd2PpNT/iEunLJkkd
+Uk1s/UNlcRy6MGgdguVoye5jO6HVzoElkemnu011xDnKLPx9WjN1DyRuSkvauZdJfnE2Y1GY/t2
pzXyMY9k87m0ZfNIcZd6Wsqm2eNjGrdxF3P2g5p0pQ+hPV+sNbL2tkjjjdMxu/xi7+3HyXntEr1w
rx0hUdlxzB81EKATisjOt9Hcb/S8iuogI7dC/1RRj/Z5EtmAgbROAWDKgqL0TVoN4ouEjFPXDOKk
2vSpWjO/Q0K6KQyt7XyaOowHQ1kVy60WPySTmN6KtjZeLG2ynqreKI+eQXaUac3VNSq0+EVJD60T
blJQ2JGHYNaaMribdgyLOZ0Q9Jv9yXBsMHrP1aDZCJ42SIoJ1LRWEDSzuYW40m48eTS+tLOhsjDP
GqgOqfL5bslLs9+syC0sf71BaHSkVPM+M6YhnOL4EHXV/DVxtCms2iX5FJtld3GsuES5kBiBKm0r
GHmDA9wre7NEsKN5swthMa/XgUamsG28Dm88yhtmMXc3z+jHWVTzEqaDBPZ+PtWR0mysSvDOe6dD
t3Lsqiw5Ms5gKDLhsziKRPIZQXmCFLNmf995mWPc03Gxol0nMilfK9nRKGu1j/zUVmRLukPyRMNK
KVQoacs+0cK3bJJqictQdW33Vkdy9aNMLIi0TMKu0NayHVlovBuh+ZXhEI1arfF1XBex7W2uUTtp
3bPENuCncYsW2fZr+yPRD3Or3oDH30lF8jOLQGjnrR0nywyAcGH00Nl/Zb6str0hanDLeRk/acnS
3BfouTZWHhV5WNBSeHdjddbdAviP4zn3dgSWoKrLveJW2mTvsziWO0EFScghjYQehNpJ4MJs+8ZQ
1ps50o3lvpt1szpW1SpQF5T4y0Witf5oFdkpzb38eRyixDfhUejdof0mw6xyPyZ0/m6yulo+RrOE
YI2rKfvk9l4UKk2g0kE47lhBBvFQBxN6gnJTla6JYlx1ehb5NHew1f5iAwL+TYMsrSf8DVEZ78U8
2QecVvVWNq06K1jsu2xyGpP5Nn+dq8Qyj2M8amE2GU5EAXvUFPvMzdTZNV2ICWMVe17yFNy0hXta
rIyvQxdb9/ZkdszV3aI/sdok6GMpt6/DZCbvilbdTTlG4zGn76bN3a2FknXD0EP3R6Ti8yQEapqh
0N7XKbr1+speO7pZ9k77gofK0Ek0f1nN4mNQTnzNWRXZ/fsSNw9ILYKnJVrC3NbVhUYgpjdt1F9r
JJn3bHDNiaIY++R5GrSTjS/JhmbBaVFFPwSi801uWM51FqnJAO0M6KEmxO64HbRXTa6sIcscRXPg
1Urf5XXZbZxCNI/rJO3In3vTumsj3QtSb53fBT6Zh4VVfGfGmg4wjgmjNFQRDEX30d54aBQwTejc
ipWkoANJE6sRCmO6i1qGgnSyThaf0CZbcgcpjF5htHPsjWSjgVNvsk2ZRs4Fz0zyagztXYN0fwsx
2u0K4OOZV73251bE+QlNusNCYhbDHskeg1ucmAfdFsuNEUWJU6hTURUv0iw/tMi99qNbIbJK8qCZ
c32bJmo6aKnLzkQCbuU4nS+Nfr0WTVN+owB0uFZMX1CoUUy7T57sAfCmo2N8zQnz6FG+bXMrBzCc
l72l2QlnqXUKl2QptwYbEiL6eEmyAEfDHmXbEkQmSRfJYU7FMVkkGur4lK+pvMRObJyUi8owz/BI
Bmst6ltzE2rvufzu0q9g+N04PRMzyhCt4iqQ7lJTo5SnIZhW/hAvTLRRG9sntx/sB9so3eOo1+Om
NzK8JpqLf4+7/TQsNzOMVbUGI6jSb5ehCJyFS0Ob2yKkmnAfoYDcIfU84gzYoY8MDTfZQbRyTS/B
pEQRMnWkRyj7jNbIbD61ptDDRbI3+WtVDQfDKY1tpmWw8baA3Snz1ia6bt7babNvdGaI1R7dQJgS
wo2+4kO0lqx/48hHHdWVFiTlgtIV+eEpiRvvTRe1vUPVbXxC3GwH9GAWx3peh9DQjPhSaALP0OSN
+3XMzC/w+tYn6az1IxNwduhJ7HnNVVQdaOXTHo1xEI/52uSslQJ1q63a5Nz2WXJJ6MvY6Axt3wyC
Zw+uUVuZb/fVd4tiLl+z+/PcZCdyIES46NFXfWbvs5ZgJUI1GFLtGdIIqnIZpV9PXrfXlsI5zObg
XSY5eU+4DfpQYbIJKoMBdnSUtUHH7qJ8rc96QgGFkVah1LErWTanSL18zMY5Z05Q7TswnB2W+GQC
DAHaobPMPXoD7ahbablRBFxjfOu7o+PljwK5hHCV9E27vavMT40+Xwbk70RRbc1efs6T6aom3dhj
iXtCBLeNNXQrZbuPcuO2LckYBBYJDaPhpzb23srSw2SavrcAG0HRUpoTuwrCah7KvYfLymebUWcy
UU2u47Y6eG5+ckVS4o2x15NsSfZ2hFvsy9zd2UteBTnakH2kq5tJq4h3tM886Ra4r7uoMaAEeg5X
BBE5F0clD7rgcAXQmX+zzKxCQuDA1KeTkmE2sEZiNNsnVWaFoi/0Hc7DaFvlTnSaC8ShSAK7vYcf
NPJVkznnNKbUxp2dcIUBPhDvWexS52AMyYnCyT2+c2ItjFS81LXTn3VKmF/SzMYF0469R4YJQYm7
vCyBevNocYfAzQaxXbu0ftUmrwhdiyPKKsGZy9WrT8h6xidU+fe50NGFCL4fvQQU6LEvmw814+Ir
80Ur/djVkTTQo63XbtgA+26BmOpD5mJZaqw5D+msXS6riUhVOqb+zeL1Ibwf8j5w4O3eBs1tDiOC
oPt5UGIb4SyD//P8jra0zdjM+laOfTBYkc6aV71ZUtMfRywTnHBmb3kodTyoBPvIdtsLaPWJuht/
mnTeenh9BCCTt5k0XHg+HMO5hL0LZS2ns0P68nm0qkucEla1Gh94JBPwb+foeU+znsPeWPdkRR/K
Pv06xcPHErfS8vW6YhA3m7nwhYybfWe01ZZtUyNzqZjDzNT0TaWV092Qj7i7HC3ds3PtEfvuDaeD
nBnDSXcxN3rl3nUrbiin3LDbfsjJvNOU8Hads+6FZpwEFkyfWWvbjOPnwZziNiAoOD80bAdPraEv
d1aUfB4sEz1xpb1aqSeuZTb37yRU1nu+7qucscXhAHGwGk5jjCja0+xZl8oiVTGb9cCpanluTByG
mTDfWMBjJAqNeLWs0gg1xGehuxivpSNxQ0i3DVb8mMzQKLvzAKnCx6B3pj+yNfueg+cnp1TVX0r5
I3fwIyfpocznIJnK5wa7j5+jsEmbEW6ODXxL+SpGKWtXqOVNq12bu0fLN+kUIagr0Jo9ccjutoWd
XrII47Zn9PdTWzDqoSe7TzrrJYM/D5zZQghW6MyLZNhvHcMcUPSn25kI1sBOzQIoz7Dv5pnQbbcY
VZi3WRQKJTeYeTfEZ1dtIIzxaOdnzdNP9ZSm3I7qCam4P4zqGHmdt0+74U6u3tyG3TB44VAZ5XPc
VPObp/ojOkESsThw+GU972VTzDuCDk21KealOqTI0bYawQAHzUjMfd4Z432zjvGXODfagDv0nSP/
s9UWwXRv1j5asO8OONczeofqYDD6HhKQoY2ax7OG385XuBK2+uy4e9ssMs4mwzUugVuGoapfLSPD
s5stQ+ynmmttjBoLrOpHpPz1Up9NB8SMY0MExbbKJ/yKaUB593ypVnsGyzRlc5AyG8JWm9NQeTOp
m6XyPTJJ+KD0GItslG4c7HCe39RW+jKK2b7jOtvQb38mjb87o91d/SrTQb0O2DHcDT/bYZCwtYPJ
SXFTWfoS8judb/UaUTLvTU9elD2VZpXsnIqCMyR9+aumQL4b0d4PSOv8LNXTTY4CG9moRlgS+zxz
MsrZLLGRART1IyK10V+ZE5bVsZFeaI06rHVeB800fRYVWu6FVfwg09i+FLqZo3hJNCDiIq8bH/iG
aXmaLffsEMaP2o/MAScUGd+H22wME0XmIjfFdweoC13bQliWzOaHrIsbI8xveLinO4gY8dPlphl/
wteanzsXc6WyEAxsujSLUJtGN29ltMzZbkJN9gX7XL/rc4t8YyZNBqp8CEubHTklDibzW/L5NNaF
BY+bJ5wxPo9yOWHl0F4xvyHUq29W1U4zjGdPCNpK0EXl5ARUZXYmGiI+OVFt7OkG0REJx4qrU5Vr
4s+LdO4cS6aIqrpmz49YG91Me6IMLPM19QpxgMlqfnRJzegY2d15ajkwKc3SH0wl4qsmK2vXJKQb
Y+1gACKezCDOemDnHetSnPWxD1uGP8vwTKyvoBRnr73VJ5RmfCQs1nxm4VfXQVrJboybXqGUoXoT
mY3VIOYoSWIoCERHj9HUbH3OGix2MwKzNQNIWLWYybsrWS9QJkz5i2m4lwG3KWDmpO6zppKBMdsf
kadbX3XLqBJEnVb0PSrS8pkx5HPmCQSeeftgDt2z6eUjHZ0AXgNaKAJhaoRgTneaZ53LVQB8uVKN
+1lb1XstUmfv4kcN4JH1zVihEI6BB8N4ydd7fRjnAB6BRATKZIHNcKVya9kAdBK/bUmmSpVm9Z2b
WxjdmtmhKrV/GZcEbZHZUriOQgAzENZBU8i7tY9TdLhd88Um/YEA/8iZdpYY7CYYbCvxa8HBJo6e
MbF7B9e7jTvklkh3OM2IvVnw5uy4mM6PlPGfgJKyD3MgKFYCbLPBONwSJgpMTEG35nM49IY6yzW6
H5z1XsbSe0hwQAb0rdbbqje/qcTlYhSpdZlLZuM2u7kRied5v3k0SDLxvni4dfeyTrAlCdfGaESM
BgrEWoMiKrID/gxjz67L0dg8pkxNL1lhiDuEas0e91x8HGZX23OwQ03UFg99KjV/hpjaOk1/NhjU
O7cfCeAHldyM5todCHzU7sZlvllO7OeElNpQ5SX0SotGKNHkGA5IFBdFMAluzaA3rKu2NvrZcPTV
dyPSVQ035lCc5x7IkMxPvZofDbPl5myVg/VzMo5m5D2h2LBPiVJPOjeRr4vpllDhbVCCP1dFdrfg
fwgSiSlrxoNj+GtuOE5Afom+l6rttyYTDmsh0Ki96b2RNXlyclI06LRMQAFam4t5IuHEkCzIhtfi
LPE0+b0SDqgl9oeAwWLl4xXdoeIyDJdbWAlH6rzeopfNLn3SRfftuq7HhdjKi+v1RZDX2YuI5YPs
Mm874E2WmXEqkK+6oN07W3SMgov14DEXnVK8SqTch2nZvi5D9ibGCqAVz0nQVA4S5YeoG5NwhWB5
aoVVBqZWFY+WXrWnpqvQuccyeRXYM/c5PteQ/IAK26iLR8hwwiap7Q3F2Nqu7PFdDg8zXNMlnpLs
mHGvvZdzlEZB4dSM3T2GVfxP3AGxEmdjMOHFGrvE7Vr3xxh5Yzgb7cGQrKe+LfBSYItlGkyZFvzM
WdhOyiJCbCpsHchR0rXWlB4fo1uar3qT2LcBCKWgOxfqK+E/PfcPGvYzD5odsSW99C4QVaGZ24r1
7eItReYEGubxbyv1ZBv2w+khndbxENcqT3wP3f8buazaM+d+AmC4lF9nVYzBDMaehPmQdFfWha7h
VdvFFzl74zf0epzrAA28EVIozwW+RCXSHPTWHl5F36XXUZu5jZecDwGOaUruIqTIi7/2KWNmUVve
c2HI7pDM1cpy1erj50l3xMtArDw2TgecSsWiUiCZto3vrjKLa4yQEYlTMXt4iONbbrGDOLwObNNJ
X4Ziag/QUYxxajDTLSdqe++Qorj6sqox6jrY5rH4TeNb5qhvSYlTo1/6bxzLNWJ/UoyqemN+Kxj4
INxWACtfy4BEukF3T6PZp6wUFX9CHBvdZZFVwkipizeSH7iX+LLeXTRLdl+xRKboWmkb2dbDKL5n
DORbtOny4EaxvMCyzndDiyZbUKN3aOXUb+u0EA+DtFnREifmQmkcPr0hkdZe06IW/gkzE5kL3g3p
Uj6j4vjBu0NdSk+LimNk6f9l78yW41bOLvtCDQUSSACJ2yrUzKmKpEjpBkGJYmKe56f/V+kc938k
u33aEX3T0X1nhy1BLBZy+Pbea+/Nqbm4k0SGJDNNpZJ0jHUSJtltZ7jTI5O1aAsTikj04JsQj+u8
W5FgcmNev2TQgQfaIPBE6HwrSdEPG5mZ9bEFH/Rsdb4ILKaye7Ju9n02Gmm79kI1IkVb9tquXU6V
kqZGYjpsfFO8RVHcUb4KImhRb0VE4FYR9Xngiw/W2fD7Q2mV1r05RG8+TVDFKuZMi8Fx+CKhe6xb
qetNKpcH0muYvarcxy+LJTEk/LZ2u3wJ6vm1imF6m/XKtso7FMGSP1+LZ13VwTCnDQFTtXwmbWIG
EJOaTZ/0YzBNwluFWXPExcutw1uaPbfAaNvaRnjpK0IBXu9+ncIumjdJoWpsiENzmyiGX2B/vYtM
Q7haCfZeINbRso2iJDyPxRhvu8mYvlC3+AOklrNO/VDeF02Tf6aThhUxhRHh+X587onl7AYQO/m6
8WsgTago7gJRMfRPMWNJbh1pkjxFvdldPAvBZ2NR3zisc8uMT44/cyTQSopA2+zJTuqtw8WeHqc5
FXsYU8NOTj4XNCyoKIjAJUqkU3vwNted2uPisfH8HK88hoAVrjfz89RXzWrq25lpypBdhVkRJAC5
NsScn7iZcUrpZLNTZWXfJmMCE3PO4mBOra/ob+GJg0hyk3GaXOc1F5o5zt0TwRPSVUmSbWa0v9ss
iZwXz1g2gE/GbRLb877tOm+fVlVzqhYRb/GDm5cIFyOQLvbBVVeNsKQ4tdS7rhjDx2iY3DvGlfwo
CaKgVxfyhDQtHvhUsfG7cq5uRdg7a9S1YlphF7awUVQ0EMH+8D7muaDHDPWFOyCq23SEmxKDbFj4
9jBLfdKL7O/tvnow9BIUTPNua0gfB2JEib8iW1ieNMAuc1WbhHkDZBV4UhXwZ38pP+rRpdtqdJFU
wG/17xnWgW1nZOHe1hnPK9vK2gkOCidM0vuM4sm3FISD2IByHL2Vdor4M7/fr7NVUyDOEIGtC119
RfCVa9sUBm7SvppAO3aRjAkWElxzmpVkTMdwB/3ODKS0SWUsdu9uxtRFUmzEcILw5a5VXfRfutme
H5KZ/bGqvWTVYXGHaFqevMJp21XlOmw2aOac/+s5ii8djm/GxQlRPVuzQnel+YDWgGOe729OiE1k
TvpOk1X81PqN944C5984vTjGfWJXK+7b5P2VNTYFa6HICP8Z5auBIHtfirq5Yl0E3wphBGZqV19H
H57EitAaEfSJtPCJvSD6zgyUm4dV2/faIoiJMYjIqCrye4T/ifxkAc2hnaR50jkGcpAUCEyGU2Pd
Mr6EpA2/+sSC3LVbDuaJ6TO7zZA4yfeQYSXXBCKWO3sUyR7PDrnUsq9fGAx9iaPl2zhRWJ70bvNs
WwRQ4trBTs92Gr+SLl1euhlmFquQOe/HhnM6d42W25SZ4Q7gzhJoPx7A703FWc35sg4L5d7Tuutt
rCob90T9hmXNpK8D/KpLSccVsRw9kgql0Grs4Nxg3Px5wUkZS2wXrzmjeIlVE5eCKYZup70ywJ4s
kaF2Rj1Z52s51I1noLx2rEcXTB7GemHSH3Bonx4yR8u91dEAE3WF/VynXYrXAdcKao+JmcOQw67t
r/NxI23EXWKNzJ3MJlcIXsSyxiYNytjBTORpdoK4mBm0DzHIQDECNCItc2OCblt3hYXJp1iIbhHw
85LArV2i/177kYgY4FQZ1j2WfOwMTZotG8sWTx6z/XVsCvJerKYb9N38xsisB2colu0VsLCynMW7
I7YCLzGepm9DBpN+1apRnSXid8MVafHvzFjkF0Ra/9Ey5PSAgO1+s1RUnIzZRVcrzOGYNHCc1lpn
JBDKSD1KWq8OmOJfW+bQV1Zgs9za8ZRucdI0O7ZS/C4EwO57K79g3ktvJs5c+4TMTCBH9bnOmwhc
Wx1zlFRT8lzj13kYofhMK7OXyeepXtAIDLVgbooHIGH2ckvsv1gXaThcYxbeoY3SXZSP0dHJAWIR
K1XHxHHuqjAF0Wfnal+Uc3FgljGsl7jKeSOm8Ug8YTkvScN8s/G8HMzgbL6G4D1veSXsF8O1L6oJ
n/2pGh+iRheBF3KLS5tWB1C4oiCfknOEThjjhtpL5fH++P58mpOKyWs2FXdpOTTrokkPNsfZc0G8
bj9yibrx5xy2FZcn+7by/HLP3O+7aqsnac4nrRGMlOEcizpHtDHph98n4WS+RsSNtm2W+ztHyvxZ
9B4LV4cmfSiS4ihKtz8xE8ATIp0piIVVf86Ij98q/LKUtllEMBqEanB0Ligg/Er1uiYVudW1TvaW
EWPrKCEt5WZNsDLtGABM/WyZq0qjy0bSzM4s07BBkOSnDTtHuUWTNE+9NfyoGsGsp9W4VuOR0V6G
FHnHuuWs8X/NR/wE5BB9PT0NnZ7uVBGOe79XywWLZbZZ4pCRlC+KS83h4kI3grXRUV59mbMhgcTR
T8Npyk1AMr5QH+5kh5+HNiXounApZSId1ilv/gJSiuKLlyLO5qCKS6YGUWkEaWGlG4dA2iEBm3bI
I886i9iN7+yiZVC+0M5L3NfuHpgNRN+zET15FVcFUWoGkdgdhHua3Va+inScWM+Wlqnh5Jz6Zabu
ZE6nDN9WjJ7gSP97HfqSnKfQ3xkScoZIrqMou07OMZfwnItA7xxV93odBb2YIa6sFSTC7ssSutZn
phvxF/xpyz2zDXuj/dCAj+snPyJDissM/OgwhmX2FCZhtEEW4HoP+Wll+5X36JjC3EV97ayhTUaX
QSOfryvZZ8eOvu8P0tTDY8H2ijAzh/e1XzsO3oks3+ddIjcGCMNjn9v2liJVVIVWFeZDls3jF8Ys
7i2SVbZRJYARvvKyvUcxkI95zwXcKOf0MS2Nb0nbgFVv2D8BCh2hdrbIOU5zr+tJvDkwSTbcnHFg
FGVnsifGBsYg6CZdDYKyTYkOMp4ZLiTfOABaY98EGU0l26VhkFEl/riufEt8WIkKTzh04GOT3Gy4
14Z99OByOCB6PIXHvOQ9HJuaNvaJqz5XZ6YFqFHWZSzb8JL4frnRGAGeijB+ZHflzONwl2b7JfmY
ex5aWpSe2jSbnt0xWvZzR5ZAGhlua4tjbcAZOX3xk2pmGG2E0esgQW+uKDMfGTsw3yaxhS5kgKzd
eqYtT63lLm9FFbs7FaHetV0O7ZIr55qoKdsVWt8j0zCoY453dfddZ++V2bcfmGvmNZ3FzuNCovIw
zH1GTm1uiVHH/rFKR5eZBkoMr2q96iQGeSidHnOF2TUAZTI252uJgp1PdwQBzvkiOpxx3bDt/VBt
cZNx5tSxsSuQbh7bAXSRHlpnb0ogpesWTKLDpXJWHwtcJXaKpXhOcZNzFmztbZy5cBaogL1rkr65
l2GbHiMipFzhMQquUk8qPnLxgwXHuB1oSus2LqBOY+VkGWvQ/8ArliRX5M42GkZHrDNV/nDqMtxM
Tph9ybpZI6FgGX52M/QP+gCGh6EIE4Ay7XBHKtzEiVRghk0HmGSRTIo/MMn/Dxvh8a0Trvg3Rvi2
fcv/6n//4w/84X/33U+msC22BJzdrudfPfV/+N+V/wlXPH+3iy9XWj//lz/975b3yXc9R/gY5AVS
7rWj4E8HvCU/CQv7u3LJdTu2J8R/YoF3f8az/tsDr6RvmpjzBWNhwt0867ekSxmR+IuM1t6H0QLc
0pyMSGx6EdrJziwxWvIaLdmDAgse4dCyVbHGltBxS+0SfBpR5w2QxshSN8GC/WtbKHNxIGo6fckE
tw9jvNsS47ffDBtLCHlNbCCJGeziR+mA12Vgo3Ba+EN8cAsgUE7RPsi4sM5w07lXIZ5yuTSKm8ny
40OrQzRpSz4qWbVrPsF5Z1aiCUpMZLf4fLbER4NEUt3uuPbRy/O1V/V9sDRQcLHmFSvruiAtjSq3
HgPkAIIMblsHc0VZ+7ehNsTdYLR6B0v2ayHimNhzpoIEaxMGyNbflo79zkLqrEcIoLjAAO1VMSH5
1llW/RTOB3xI3Xnx/fGYxmb07tfusM5m0R4L0b15k6H2pmc226SvyIuBNr1VsfsjHDxx19XT+wJN
AZVp5niQGHdu7aHpLN+4hx8MbdObFr5MtX3idnwjOcp2c3/MpdjFkYlHEgrWd1mqcRtO9nuWVbtW
YpS/8l/6bC7X1mg/aZ9hMQPxZeOkWI1yDdO0FskLZLxp03neq5uYN0kjCDF7wdjCwI77qd74uob5
3BvDSVxZY1Ytjnlezhge5Q6nOJeOrHtImwohcpnafCPJLEC+k99mqIdB3rjmebFd637uHVxlYAO+
Qv7Bnws0Vn+3QhffAurpQ9rbLKhilN+bpjd2WV+r+zzX3gnL8vzR+B2UI0h+NbfWaTnhMBpvmii9
N0UVf8hmxB5whboJbcBAbKEJOXHWvVdpzw1CYd6o/WOKEWottGCHXIzGvuewHrLUqgfYt34wustF
ReUZ8MPOIND0sOTxeHCGLIah0EGSNNPQesApXQexM3/PqP/dKiP7mtv9cNt67sGwssVcDVabXjwP
nJeHE+k0mXDDahcfV1KN6IngKUpZzKcu9e7hQzmXTretuPE8yGSIL4WogwIIPxIt+Id+S0E7Tisj
GzVmCD9zCSwM/LBBVkneu8Tt2dmROvJsI5cwR5+IAfetDSOxLo1SPrMgO29RW2K7wKcHlIAkPkBN
aD7M4vSm9dSssddEscuErgy9IAReiNiXCK7wvVFEQMV1gwpmyDjv9j20k24dWWlLeCSFpfOCyw9G
Le+z6pYgzdX1RmaWam0NqmC7ibhCEyzAiHAK6ygbtwpfFZFeZk8K+bHmNJk6mVFC3YgXn+eiFG3N
FgbIWjORdjmghD9j/+DCNsDnmA7qAVjbLoIjAArRYcSx6Rg+RdswN1T7XlpDlGOUUUQHBAxdzJp0
8H416T1+KUbeGL9LmN/rRs0BvFfQV8RNonKPuSrD0TQYzJ84Wl45RWVG0ofjFB8WoB/MHHLT8894
ThOTNwRGzsqKkfbSpMgfW4IMP8awptsgjkhk4FWJRfrglkmebJdeFmqTdxhN76K04LfPTCja6WHC
umrh3czI56nFDgjhV8ku7yNPHLAcdtn3ujH6eOt7kK7XVq5CvLyD4Ejkwwaspz66+MViblBxeGBf
pQF6+MAPWkVef5jDqXFWNTIs+JujCxPva+rGkM5IxryNZCehokZTfdsTmmVeq5bkkE+ctxRTWSdq
od657VPSeU9RN72qIpmCtqjnL8oZa5S2KDvbCRVvfaxJjBRF9yg9r4Tx1Kov2qo5W9qdXL4Kc3kf
3R5jo9kXnyE3Ub1VBEabDMzT4Si6/L3Nyu1M4UDEn8Yhv+maIbV3vhHyieKiu5oBiROvMgbC93OT
iY0RTWG/08A1ofZ46CAbC17FeGLV/jyAPCfrHNXdYwLR075AfR7CbeZ5CBrERjhSFtACZ/SE6eJk
2BH3mSTGMZjENR4zT0TvCP4AZcY4p+JFNTJ+aiCNDl+5EHTNccEVxFx1iFt3VWsAEXE677nWfJsY
taoVJzVQrHCofPzK1bIVYYvRbWqHh66b43tpoG4O9jTdKrs/z3BNDmHkJmfFjYlLKedEYzE9ZmvZ
9OVK2z1XBmC51bVi5Yme6vk8QzTMHga/LL8VsKv3fbqMh3DIPQNPqsrfXAjhZ4PhF0pC599PXQ7n
FRuf+qY5775kMdZpIisOyZzG7uG+hp2tPlS21DfV3I8fIWfKHpNm6WVP2NI5zHoGjnrLdqNo40HK
yz5i5WI2TozIvEuHwb2UpXBfCHwnO+gwlreFF+NmNwJ3PKsCDHij8JunUteVXrdwsn9Ynio/BhzZ
r2NtYXutZeQHrpNjw2W0w2Uc4G59T37cvtUwEvNb7ALyCUdgnd8U1aRSPD2wfxG/jSHZ+GakXr1S
Uy6QtP60S6qwtI6uSOV7CSvi7KaWejKhdt0UMTM/JrOh95w1wvm69Fc44cyquvLyWb+6g4HWPglN
gGjOcGeQOQuU5bn7kKH4RmhHYCm0usMgId9hT2SS4fQjwHL0xSbdKsbpNZ6+WRKS8pf2GVShcccc
hKnnpFvmTK7OFsxbBjb7qzRUwFEdalDgjUmwDv1gpi0j68ojhAka6xfbbp1zkwzZa95qvnSl1vbV
SDmEdoBQisnfL8A4odj0XYgP1TIabiAm+1+tUdDPTHKN+d5xESXOBnwzZpllwh3GYCCuIOF6gFgq
rlA6GMdMg3s10tFexYpb+k43vqNv4sJw5/VQjMNZ4EHRR1nRGXEDnG1BQYfjoBhNlBe/hNgMVc6Y
+0tYx071OcSHP2Fex+sBKcoC9bUpUl55yOY+JmyyMCm5z93Y1f5TOOXuGVjMyNQkZN138RDtDbnY
e99RU1DRWb9nP8vvaa3EukV+ZUeIDElwZsQcGFBvb9pQKmCHqCSnGKt0va7wMox8IYYGWqpbF/gv
So4PtnkHaw7ttQkvJi88PMg43HQuQ9I2q4ZXJfr6lCexfk7aulunUIFQoCtXP0lHE+LidFPwGy4x
2cyqrm6YUChK6qVM/D2So+LXWnXgJ2HGye7Bwql+rzCfYzON7Gc5dlO9y2JjDIkZpizLeee6KYaw
JD8YEJafZzHE/JrBh+iNP/f942QnY3UQs+KGaC36nW2OxTJsRkZ6EDJsvc9iM9wI7h9vlcj908yA
6WGR5UPtiWlH9hk/tF9B9ywW5wYju4Lv45zqxWFwbXVP2o1TsYqL8DTisH5jw0getWdl71VfDbs6
rUW9HW0jxZvShGDwpVe/a11wBCsdemMyc9zDfmODqqbIQyaOm0RszNaW29r2rjMg/HrNDo1ah7dO
RFyvBYPsr8aJdEWKH3VNj1H5HdzR9642mLl1Is7JYJrww5ATMyz8DKeS5G9y5L9m+v/5xvMbOMDG
7WiWJDfg0GZQX2ynbY4FvJinv9wB/0Wq9189hriz70I48jxszL/m8IeFXil4e+OBDlf0ZwIQybqe
a/l3XXxXQMOvF7jr71cAnTC5EXKf+/U5wjesDrsCkNa+6N+S6w7vdgs3Aj3Dj15PRhr/yAZmJWho
uaX+5sO0rp/W74/3bNuDIutxu/39x4wp4jBIVnUH2cTVFt9G92ip3N2SqV34krbZWdVYjFLChV/S
uWTMwWliMP2nhdOF/HnMgF+TXQ8ehcu5f5keJo92FdeuGauYQNh+Ao2ZChtjnN23EHTTVektIWOt
qES08f+m/u6ffyBuwqbHld0UFNT83jm84Eb1KDKpDgvsIzwRaYxrZShj6IrkjH32eJ0p+2/oG//8
UNt0TfrSFCdT1zN/+042ZA/lwISGh+rlxvZsztIds0N9jL25fvv338zrlf7XXxkPE6bPD8jfJH+v
0dW+bcGOzLvDCOVn4zTW+5Qa29ycur/5qf75FcBwzjGENhqGHLZz/d//kmonayWqso4LsB+ktO6l
qEI2zkI4/f7f/0TiX3x+QHy4RXJMtDAeX1+SvzxJp/D3nMXJDp1k2Bz1HCngAkX6humH3QdgpKx2
5zNepFElGtv7dOxt+UA4b81GFL1TJ8HprxKYDPDFhMt++nk+bH6eFf/9P/WfPhMhLL5aPoMdPhbn
9wpNbUhgeaWKD2kUmd6hUn33MJUTl6X/+Dk2r73j+NdJku3/9tm7ddTWWvfRoQi5DAQNqjOw0TDL
jj+f83963HeLgla25Uf3O/jiF1bG/0V0DA8vo2ux2P6v54K7khfzD9TGlafxP//EH4NBT35i5oes
IKiC+WUw6NmfXIdiIFzT0rR4hfg2/wOM4XyitcT1cWCyStFyD0jiz8GgkJ8UaChBq64UrMRK/UeD
wV/WCNAYV73DJdoNZ8NDgfqNqAQbeSCtM44b9i3K2Rjmb4mh0CApIrKf2N3/+Brx2/3XLI5f16R/
PI8HOhjG+DyYkv71Bc60TWadA8VmkSy6i9Qfw4KLmhHS3zWTWz/7Ov97/fv5LEeZwG9YMXgFzd8W
C5hBlm1HEddGYabkRR38mdzlxCGxrOo2DbGF9DTr7DJgVYGuG/+dUfrw0BZTesh96ImIFymsiRly
Hd77Vqar1NfNi8TDRicdrJE719Xi2JtWyxBsccJ1S0AQYvekmPDnSzZ5q9EuyZT1NgbSVDzBpeRk
bntxLU44WsA/X5H46zZewqBLPPmjc6Nyg8YMD1gB5P3omdP+4PwGS69gtyjDbHmAsEVQoqtnvasH
MvPMu4Zz4i7GqTZ9c9jXEDsxwkU+/5QeDN+LYlgbr6yoBg0e68zTmHdwpFGdZHi7arG5ksFCReJk
zKTJzdEwUq5sb2g+YFWC4mzdg6f5PpCMomPOIyI5u09Xi11FRNcOj4s2llOMpfdhmjIgB4w7JDGT
tY6rVyMn20Yh2DmRS7ErHO9mnmDIxdTv4HJv6rUN6+/mmuEDKNnTp8E0YkUePYsCw1UYsmD1b4Qx
pUdjbl9jejBW+SRBLuKSW7mE1lCwvLuuSBIwe1SNRPjSbTF1G8fwN0NYzHh5UTHxTLSWcZlrSqaE
dw3wTdEOIo0MkIgPzDoH3J02j28QqkyhP4ok9ldOn/AfYGN45ljuW8qV1kPGCbiMWjNwJQ+33NwM
BmWeMUkgO5UNr06h37SV3uYFCg1tHt9GhgMrQboaRImx44Bxpsg6UNdPNLWvO5iMHrm76zVYxneI
pjcipbKBkrE13WEMviH2c/yq1lZrn0ObyEeZi/fEzbeAxWms6budbSYfpuWmmzRsXh3+yxCqO8ri
PlI/vsk7TSg+Fet0gNExRPUjQZsdqXwiIcMpCtNdZ6MyEvTdVFy21mq6VonUYV3rm8SWo8mkPWzv
6865i/HRUPdIwNYGgmiP2cn0px9uX5HVnmilS6kgI4GqaFEBIrMaOrJBvR2nq0WBboz9OmG2q+6s
OdKEawhsh+3LpC2X8NQI3sJO47Ub4v20NXUH6HQc0sJVabTh2vJIWadcTjBynnQIA8dtrNfU9PkB
mMeYIY/LxvgbGeRrLWgHEsf21jC3V7Iiq4ZOn6xIAJGMK7shgN46rvnFnrkW++uwxD9oZBm8hJwX
le7r5akz2mEVtt7TSBZxVXj5zQBTYCXN6hvTyXLz/zfX/x30lLyevP/d1nr7Fr01b23UNb9ssX/+
uT/JU+Yn3+SoZdJ7Rde8p9jD/lDePChSSF7UaTkK/JO8Hrf/obxZn0x2XXZPG84UewV/6B8brPPJ
FT/PU7bFQgp49z/ZYIXpWL/vseCwJJurbTPfu+qAv+55pHcUwWhj2iCTWwMhX8xR09C6dEJF8kOn
nd+vu9zz7QA789IwVhwYZQhtipNvEHDDx5SoVVpAU3nNwRn5d0NvXv8fRWt9x/MqTEItNvdPCTIa
7urENMDTTGZDI8mqs8Pg/gUJItaP5kzF1xn8U9ZSaBHjxUKkGAfmBm4IwhfXcgOBu+Ly0y0uzF6X
stWYRiSLmgDfytENZzvE7VmS3ngoOi0+RFISPZhcy1/Xae8fGCYYFyuNDAv/5zLkAVgQ6VQrMhjp
PYa18casM6pNnQyeDRCW8dh1pqOChhxReBdiToL3roDcX1RqvSZwDcSO6czUr2rPutJGQ8DIE0VI
uK6nRiY3crAxFBSqRQ6w0kkjEg4tORJ8OhFtW9QtbRtYZISPrYa0yzgkcXLfQpRmsDhZz25NgsYw
7VmT1FRDBslDj+mR+oOe1iuND4xNhrd+NdNh0NJeq+TZ6kQ6rytT9gTWMTZ1CSFuSDPWvZe15Y1o
VEQTj66+tML47oDFBa0xpSXXEz93Ni69SB2OP1eB+cjiF/42BuuDbh5CILTlwckqkLALvYj4REwt
Lym5Uo0BHRVr7WbEDlbAGuz2UMyLMW3HEvEB3BO20FtJG4Jx1J6o3LU5LuixjeMnJKKXsd/1JGtg
0zQTK54TxxDC1Gg5DwVeZHKDSA7gDMyOzl3qiogNlQP5JqfzJZjeGSoDcfk0qk7plLOcKxcxDKfQ
WOytSXVdAG/BwjKy4PQLusGGXtXaURxu5zQd4BPP5RVrAX9fbCKvci1SYdX01JKXBKQw2fJbBXv4
OScSiwjQNO+YUMR05FvHCN/Mw5mylKbrJrbuktpBJAaGUm3HAHTBOr02DTXkGN5C95jAf/hW+dBc
9iBdVL6JGMkOAQVC/MbmRpdHyPnVgGupSREg4ujcxN6DV6Tuc9v2eOS6sDYOuhcRxVujZ65aGpVe
EEXExSB78HXxZ/dEyGk/oETXq5RHW49hQzXNqiT8YD2BFffcFefNktOUWc2PcWEv73mUL7fDtbJs
TbVkJO6xCXqUZJUpkF+rIFu3X0yd3/oJAYj9JEtC1GYy5F86ojX3YESgJBDdY5ALW4GENAlU+YRV
9lpZZOWohYo8IkV2KREP2RWRA6p0joE6zIYWpx5SMKc6nctbEC5Ut46kXrNrdCn+SnEgjAygzXzb
0VSBnFcgwIOyJjstlRl+Nha6ThcP5Fs+lcU7cG/o6/RNbHUopxf/qsLVLc50YC5NjguNq+iq8imD
1CXWdqx35akws+GpJcUfXSfurAUZiP8Yy/AD02cGndKn3rIfIHYUuHVRHE0IH/varOWzyNP2xCxX
f3VSK/I3S9eBlEinmAO4Z0dDuKM0Ytz2lo6+TZVRz6QWlUVa0RQkgigNfIpBkR+mxZMxDQsFenHk
Mv2Woecy/nQiLPjN4jPKnXDp94gC3+uhHHwa+uxJ7yJ2nCrIUwBdXoYdXQ56vKM92TiE0iL7j3ss
Gx9JtYY/i4AnGdDfOpDf9XPUcxcD1nGggrXfTbMtKLhazOtJCQMJ9IaQ7yqhtrp9GWjavS8Gq1wj
9xlfqX/1imeVtIZJ7ocXZeWnvhnQI+CgU7INqu+5Mdvg4Rd7B4Wer2f0woTH/Nb1qGbKKpMNNu1m
6wMeC6IWwxhLeM7lQcQ8UmoICziUIPm1vu2z7F/bQmvg1MVTOTEuWQvG/xsCEuEFxoL5RASPT9S1
RvAOBY2G4yaTSXI2+5ArBHefgWJADtIGupyVvLkD9Rp7Mt99eivtcLkyryYCI8LON8z4qRNb+qZ/
CGNSuEKxzBF1mgSIEvLVZSAcZCJI7wUpJVqPxmd/XnCAOVQBhquWTz7eLJV0z9lUG5gM8NTXmBdo
fQ6wffAPsYAiXuAbGmwAiwfoIMJUVq8jwsfWIYYMQdlMHrvYuWXqAxuLp9M1vIcNWy7GoS+EPkxT
WcX43WDUX42eTbjtasff00oQvzP8r18KAjNnY+iIXCNhLN9TjG8No0rHctgfejLnPAIHAlczajsK
mab71sl8xuSgGmH9uItFGhsY90NYEKcGnp4n2NuXmQNCY9tvCv8uVyZCuk8z6eXb0qxGMvXpRP5U
XsGAuEFtfzUQzrnDWBpfbBUNn8e5xPkwM/TbmoaxXJLcVCP3vL5FhPGX+WlYTNUEY5KyHVHJRfxz
cnv1wxvlvM9tLe5oMiSeWxojdkwKtEf81CQvykANnkL/nCKoaHMCxET2SeU/zMolFkx+ICJq1Phf
XGd2zsTzT7WdxBO02/zS535MbeXSRUGIzYaUIaUuXLuNfRKjwqt++pZUhLviijUTnFpqf3Wwfmd4
Ahb10sW9/dFWIHkjOZVvqbHQl1PWQ3owJ8AqrDFkkWOdPM4y6cG599QaICNjLZ+s+IL5zTuK2jOt
3WADu8gJ1AVZljQkTrRGVae3etUvGllQUuS5piUAm70X0v9QL8AqTa4lF5kZefqVbg994w4pFowS
syP22t5njYux21ajjTOPf/QugUeEXUBYpI4jPZ6MaNR0jZKo2uCBmj0QnrF3N9RG833IpH4nARB9
idr5yRBsrBRnYY0FpgDsIJ4wDeWRS5wSweGKl2AtIvdvL9ZwkEXnfqsN0J87QDoWVYZJchBydnak
HhTG9AVHQxqLJ+4/1VdHRG15Zyf18AEitRg5G6QobG4XwXGJkhH+o2OBcrRIP6L0ibEU+xLHMiqy
9t9HCf3+M/1IRbxzS1G+145tNucxtHCAWgnDqSNBQt3dxD739ZWmpJIAzxBW78RO0KN9SQvSITTh
RrE7pxaNFqLM/WNR2MNjbdKREsSpkT/CQintQzmRG7lQwHeBPJ+WR6eph6tnd0QN9+yCqtwluhXw
v0kYzS0ezqnpdk3EltVlXV6tPUl8b23VIa8JB3Fqi6EpHHKl1bFIoESEOJfvTSmjEUFuhHk2gTSk
1SpDW840ezlnkPdG2tOzU3jRpvdGK0BwtjhFl+qzYRQhIbPZVN1BUZpRvM0FhZ47Flr/aQYD8o7f
huyJlg3pa7+tP/cTbo3Enom72umc3bQWYvuabmrxgsNbfHY5q921naN3fjZoGZQ4qPKdk7sS6rxF
+maaq4rxCKr4dzbILGDLUj9NTvZLF7ZvVlOHyD5DBl7sv9g7k+XIkXNLv4qs9ygDHPOiFxcxD5zJ
ZDI3MDKZidExOBzj0/eHqivdLLVJarVZb9ruQjJJJSYjERHA7+c/5zvIDQ3WmrZ9BU+CWGWFoNA2
lN4xcBjZXH1pkz55phQmaJjdYNqwpHCfRmAKbsAnuRVfl5H4c9hSx/Qdnyw7PsPhbgyPYGImf7cm
QHv9nD7lhQC1IFgTRXpCjT63iNPe0VysYbkWVlnMe1lCzrzNamiqQD0N4j6GgwZwFE0HW4H/JInm
8SxB77GqINlnbd/sOx+SCUbxQD9TOlm5m0wk4ikjzphthcOjPKWP4hFSavLIZ38B4wPvhMQLj/lt
hZ3uPiN8uSEh0VzMEvOtgMKHA9f5gVdTdHTrKAqYVJC7py7v4MNRvkC2IRQNoDHZKCbCBW30prHb
HmzXtEX5bHD09yBWvXQ6mxJDNMsWeoI6Khv7MWNxSTQh3oCGVGFkp6Qn2inUj6MRL4dEiOxrw7U9
VdWkCOuDsKMpzCAQxL7HybKd6aVEXpzBMN5SzTrsnBsNFapkL/yX0QZ1ta1yXJwbvDP1d2h//gRn
cEhvE2c9nNU+lKs1PTE9ZdC4StLvYc5b6C5v0DvGb4JXAf9mTE2LTmFJ0ZpjN93BsdX0rRUJxnJM
S84dABbzmQGXO2wOF29Pt0N6ju16+iHjdt57s1+elBUvGSCJ2rnh0BDE1Dg34iMniAd6iuPMliFj
8Tc0WvbgS4pp+rb65vECwIERvItQzkoo9sTUQFFGPhIPiJHKpGZvXIrhg6+vd8VHzvIvtUye7gPg
Kiyqadlsh7Tcj2brU1QZu/JOmAxDu7glcHPuwjRGbYLsRr0KpF9OVRxvvA2HXCCnDrlAF4owLg2N
M5XDhgm2Am84XbfQlr35RcWd5RwNbUM3yug0/hxa5Z6GtLfe5FQF2458G9FAbvOLsJEO3dnjXlPo
eqcqMi3SDZI8IsLbVhvUTIJhEk7VNwdS5V3iD+7Bs1T6RWUBkh+9ommBpl56D4vSdXcGhBib2w5x
No7iBFJKIKcQXWzEFIerMGGuoRdsugsaKOibRGfhZ4Yf98nukheIBGrNSkDnrCtSu7JZ/FVNNg9B
YQbnuYOIAya/OlFG2tzTzWRuG+V5tNTPuMp3c9Z3jyoerchWvU9bbpV133Odgk1DRNfq6Gtq7ziy
Y6jUy3A3qRyXE5lPv8AmB9kPItBsvjsaTbDkffhJAeDyOKQ84JlGvatDSvghbxIq2NJ4vKmH5ZL4
oYsY54Ja37RyOBaO973rGXgKj4guHJfxMqackiCxHrq8ZOIdPPsVp+InH7eJa5y5Ue9lnyU1v6cu
tuW2zAKud86ETN7k1iFMdpYucmw51M091UY8QLVKvjFTSDYYwD+fnOIdq4G7y/gcMehX9jYjwLqz
nNo9FZXZPMWNNg8qIH3EjROTcWcfrKzyP8HvWYColHOym4LsXEAKBQZ2vm2mptrnUtlwgqz54i+B
+UFRVnXxBjG+96oBl0CWStLuC733CMuaUmdukuP3pfd6MDOF1W662A2AXeONjFrB330zjEb77hZQ
23aL17rXubfVkWIPa1cgZh5ynKXHJp457g9NcU8B63zrudDTIncsaYqfBqbCYNTLjzknKYJgRJ+6
Cw76eXY97zoLUnf0eDucictgMzaFuRVM8j9KqG4HpdvfHyZf4WD20BZqt7/pPG6impoVqBxsf+MD
sZHkqK350Jb4YSqNa9SyG8SPwmv0C+Nui0Axw9HEjMOZYwK+23Zu8TNA5T65ql4exzlf3qwy8R5J
mPUE1lKIeq0Azh1VdMBsMpfbJcrNAVfmacRad6BCzbvrC8fiLwTJAiQvrUYHYUhnb/d1vEl87V6H
kvNp7zvt11GZF1rnQcGwPXYfqQbVRwJz0wNFoQhHZiqDTVEVX9vSJrxmSgh6vVK3I2HMHX5dsW/c
VT7rxi25Joqq+tm9B+6GQu1n2bkxRdTac3+0J/+WHc+4cVrfucyusBikwmUrXJsIKKBgzshDdiX7
ZuwGHsZ7LzQZ77xEXrlR5Tu+MsFrZbRwqhMyTJvKJrEqrOSZEE44HDJzmJ5pw+n2I3o1nw9qg++C
xAcNm+TefDOWxrjjjou52q7K/ayT9rzQwSYuk5U3eoeahi007d6MPDCfXa/VQD9avGok7pn2ksJ+
bafcPPiyMHlXYWo0LJI3oAY1sNkyT87tNDKGjJD9BnbPzDngGj4gMbxDB8s2U22hF+hF/qDGMz5w
f6gf22UcGYdi45acZMACaHwlOoAby5Js18q0qQ8uzVlYxabHtC7928YFDxhpjgMawxjHmyge3exi
Fqo6YZ4PfpjavqebdNx0MGIYyOL53sN0uJsMPW/YpxgrlAj9yMAmTAD35E0L2tRcL94XT0j3zS2M
DR5jniRJn138VjeHmfPGDuteld3Gkzt/LFlpv5CWNX+OmNE5D4TufQ8EI/fcRd82xlyMN+nQpMzU
Rnpko/e9da2V6mkThGX0nn/CbwHh1rni2A5Du1OmpNYBC3nk9HO1HwKokNE8dymT1OImgnHYZ9GG
bXgZNwGHlgfKu2iYcyuLh97/m66K/+929qgWaPD/eGEfZWwVfl3Z//ED/7lOCH6zTW5npi9M7FZI
939dJwT2b5ivfMHISH+Da/1SZEGQx+UxyJKBgI0n2ET8bZ1AkIefoC0YTXnN8fx7XRYoqX+3TRAm
Owv4kg4bdJYe7rpt+MUC0w5e2YGbtw9NbDnPHBuXLZN5dZ588HcDlvbD0Mq3tJAT5JwgeMuIx1yF
4/YYhPk351BB/qZU1Cle8zTNwKUv3o0VVn6MTKbTkD2pShErmBtexcKUFo2cd65xAUYxKjTDRYEI
ekig572Gtlf/XGpfvzIEYqh1bOw/LGWne4K4SC2daXCHpIsSJJ84T2oQj303thenq+ozcRncXjDe
Tgl3kWlrCcN+BTErnEuju/ySl6HdsWZ3qmdiLIt5wvxjXMycX8RjLR+gK3gEdlJXxi84Xikkcw33
4oX18I2JEy5FzqGTg74/Z1+Q98yX2J1HuD12wp/NlMuJkqU3eNFyEZ/hapmJvFTWZ9XRwOpS6HaL
nkWdbE695NWUOZXBqg6JS9c+7kV4KOrBaOoihG+VzQ8hzqQ9Bu3qpgocfMMmrJoiEoMryesS4fkJ
HMd4pKMeKbbM4vG9sVxuf6kBdyDqjLm9TacCTY5zsWz2SGvAA5IUamu3zPPJI48LRYbpPqpwqkWQ
ZW2ILn59xdbonnLLghohHZp2JbyIo+h5joKY/5nqFV3vpXDNKCpw1DE3ChzKdWj2NA1ok3c37RHH
WdAiBnckYKF1VD6bKnM9lFnkZWvT3w+2rT5nXZIAyTs8+T027e+slMc3Sw/emTRDciFKUD8wu4gX
dAN1w9o+dwlacrvbu42ZG7sJ4B+UQgeIwMbnBnsmKj8zG00hMd6q2SHA4Jp3a0eeiXD5V6fKx7PL
euhhcRviQTnPPMuDXA6qqnyWlaufyNul47EWEPGyxQDFHODPFMAWwY+wLkzvGs8EbuIXgb5xVWBf
XbZIJ9My0CLiGAwthzgh0bm4pIHy4MpYRkgEOenRiItwmK4xfTHSXOJvoaqwIBSO8+aTgL9gly+P
iVCCy1Rb4S1x5dqMXJ9FVNQMzHSbiowaO+0QBz3QH6CThAQw20RBx66uIyOCuOF1gql0UI9Gzdk4
mHMeuZmxdZv2WwM9n26YWm5B4BhfWkdNyMr1mVWYsff7uN66s3OnC/hYpA/3MmQGj5XzGvOkkb3o
9nXtK8RWP706KIEwQdrvoN3bW+mpp1Y1P8OMtTp2AnqXezoRydnpxRnvJCEJ321QgXOPDm7hcbj0
ennHEYxPPYLU5O1H+iCrbQu8GL74NMPn6JbDZM6+JtBGblshuY6mjRvWkSm05UXLK+wab8fXcHgh
l1LdGCZPO8Xa6FA6uu8ftIc1MkrsUgWI94hnUWJMwbceyikQj0AbIKB0kn6Hl2WaW+4mbC1qc9Hh
OVimND3YPRcn8skYTWQTR14kP+SazEeJhktN/7wBU1vTHT0GfvFJTqrf91Zu7AMvd/lY6OlARbRz
MAfHJNnWWidrXRcOo8mAlNAGESVLHL/4XNoNdpuAfR89zvR1SrUFmMv0topIuyrX/X7GN3+jKSZ9
CnK1fAusFruOyNRwkUIAGfbj4j4WQbw38zr72cDk1ADBXMBDizbn/UhSfkeLzjhx+vT5wttD/9YA
QTq2hTeCi16K7DjHqwRRF5xDZeeLG9J3XmRj9ziCPlZfHaFcPg4zaMqYFkdJXBHVvhqezNJSX42y
L0hN4lLeihxyWdfjj+b6d/fsJPDg2I3TfyRMe4Tnw+OSuBcy6fNVm0X5VYmkg7owHfulMJ76Bjk2
r4Licc5aOjA6c7kTRiEPyNf2fVtdm0yfiDLMFBNRUSR8e3ghXTrsKZekMCif/PYEcs24NTsOYhdc
JfPdSJXwFWc9Fig2ytaZ2vW3OAz1m28UxZc26+sbLnPxIIvF+aZhjRZQcc0Jbxc8z7skBZaZDmjC
kUiWDgowhQdjgHOng14Lwnmplu0Yo+w4YX8p58VBvBgosjY4rSpjoLg8xG3/tIxFuS8XuTzFi6ZT
DVB88RpQ1LGbG7oGZeoQPC3lgsWqXJpN5+X5Z1uk/QmTFG+SpP38CZ2XT9n6uzk82PeaCsV9AtT3
KNjQfrc4+B48JIAGCQCeFJN8xW4N79LEg7Qyrj6ElhWgWR6Gkcc9Zilqs1kWA6kbH9Owc5NIG0l9
CIKgOCHxJwecRM0mi+Py1aj65YVCAHFF2OL+bvmtODcOGJRNldrWKTHtT8D0xRbRt/hw06AtdguE
0JcJNCFl5Iwe1TZslX+dmiC/EUE3kyXh3gq4+d2mbI6PcZHf5o5K7tCWbCCJS5xAFxnD4tvI/RRb
Wmraxm5OqvqBrLuFDZltyXMtGN7YfMr+bHbKo0ClGF6m3PpUPYUAhyzuDFgvwL38sEt++L1O9pUH
O4YadjTRuXOAkjpjOBGWt8WXXPnjMwiB8T2e/IybLiWUfoQYQpjQz93mxZ/z8kdpkwHpbWIkMs2I
+UltvaWYAL2jylv7TrdENmnG3k8JhTtBDcJwAaXzNYwTzD7dka9WcGkhYe+kABk8GMmxaq0nc+F9
nvN6PM/UxpLNayOTXthN0I8LkBH2qE+F4kty7MPMvUxV7j0NIFho/O0FHqUQITnNGTrg+3QfTS5v
SSLxRuFTOInGcA8tnVscN5WRo3mg/1aYpB6SmM90P5s8WiU1EA3PlBfij+XeAq3N0shS96XvTC9F
sxjsjEI3KsrK2zRdCTGwdo3nYPJ3kzNnpJFE8DB2rrxVY7JmOLL81ZpncRqU7HdqqJrPSuUFNNWu
IrA5VMfJr8Kvni3nu9jy6s+hE9gPumVkVed585Na0e20rDGYiO6I6JZe07qnCQfL2bew6hYOp7X3
0wfutWli964RKrtIOjXOFf67j7ki6AOdLxAxqjb2gWgejOxSUhLtMEkW0884NsfrAs4L+4w0vFuo
s9xIQKh8yEEJINRdgDXM0IdRjtm9NzNHsUsN9z5+jf2S+80N1V9kj7OKeHDMUqLtpk/WcbSNNe0t
SzUN1bnptrNlMA5ozpJA74srEFVOlf14ZejMtnlYOXflICCUN9zWa9NwAEYWnIGz66zTD2Jxn40V
3sF67vaSw/vINzjzH+umAcjcNqa1T1vjwj1R9tB1ManIlvtqVM9TlW1MtliMEQjxF9+jhpjqLeMx
MGfbfBubJfDPQ9zRBuU1Ie99XTo/GbLq/uDCk/7CQ6o9TCPsN98dV0FAtsx+KijCT6iklrVfFE+j
zhnGJzi0/tZZ+uXG7IybwsrdR4bJ+ZyH7OhtFnHXTmUh09zKaQ5IShGcT6wujkZYlc9lYSVH2QG6
qNbszqjzi+023i13BGyXLRqHl4hBsXKzkcH5iatgYd0htxfLrdLBXBBLpgy8ZLJ+wjGprnxfyQpY
nOv3qp2Hh8JoM7xGLDxuHMNCr268ahG7mAmXhDpoZ6CVVfm0UGsGkh3rzRvwSHnFW7yYG1jt7q1d
M6EUWPkS4s25FFGaePV9gTLjbTrZ4YzFAphR3dSqZMG4YuIMKOImfTWLlPRg02jwh6azumkYMSgi
O9VFKW8H0/XKre7kjRg8/yFAWWZR49tAFnMIwJ/BnFkfSdMHFJsU/hsAyf5EPhvPBHhDjBsySYsU
KBehBVonWOMS1JrIydaN1dLbNAbP3axSHSmS1LuJJA571DrYO617wARQbqFHQsQygPts5jxWB+5a
75BLEFBEX9Py4KSHklUedR36kIrknuT1T7ytSOpYH05THtNmA3zKbNIjWvktJAgWyV6Dqkqw+ckc
lcFqXNED4ZY4js3Y3pROcTDWIwbIpyMXAgtVva9qZkNeyZlqwJ8mOdBtlhhH4U0UEhYM3ByRi9Xm
YWzDOn0N1Qh/O02edQpeE/XvxWDsiDgOwnzN9R2n84qWkeCG8Ea7lRD77QzYM4eRDzKM18LNt1Xm
roXllFX7ZvJN1+KSIMtGRLpoyu19b7uMeD+KOtUnv5BQ/kYLj5kXL9s4w/kAZ5qYH5CfbTZQCYUF
q96MpWJXJbZmOb2j5G/p7TlqGAxbLHF3C7io+9GW9c5LzYUivcU5NHYcbnn0WNE4sqiPODfZ57xi
JRU3yKFODMEpaYd+12JkhmeXrYibhiLAhZ42hlJjHg6T5dKIErtWjPhTzDagpz6gOK/U6uqBic2o
RuH6BorSqGIySFvaznB0DD/GnCL6r11eoeKiFHFgyTWY6ambWe8sYhhQOHOZ7rykCb+UjpzeQQ3G
F3Zuo3tUbGQYaNyvhKlp2NKGG1K1RoE9qy3byh69JpmAsdr2cmwmc4p4cJivCf3XT9pMGjAeyvGg
JRRld/Z9n737EHSKW97QvNIH/2QTVz6YOnjWunAv3GAImWZNcJzK9p0qPhswwhrfn/JNSEXbrrHM
4YeY+1QwnZrBbdLb8DKWuNJ85ZrybQ4Cb8X4YNmtVTx845uVoQw3hPilTA/SmzwMNTyqXRK2J2xB
CZR4MR11gEoQBakV7jKhmouVcM/nLmSOXxK3KN/qMswOmaf7aif9zn8JGFwcAF+yZLtGJ9Ifqaj/
Tsw8/4s+WYj/OGnWFuh/LMHxGX3XOuuSd5X+qsRZ//XD/ynHOb85JnFmF9WLXguyKn+T48zf2Nqs
sSfW5Vh813/yV3cv8BzEuzX6BibKB6HzNznO8n9j2gTd5jkWP+r79r/j7vXDNSDzp5AJ6S6Hhj4R
EG/m9/1dyMSM86HgX9Ped+pU7CeLuOvY5dBoMVQtIrKbpct3qmDXjV0snvMIT0cPkmYSkxFpTzub
MfTEtRot8o59DbKrj2V7JWpXPhXZaDxzs0hPyUQyxZNVeoG/BcVWub484CoNdz67qairOpaYdrAA
74F0gic1tdNjPHnllyVhp7eJy4rhCDcSwH3hwZUf4/nBYwynGW554hu41tSABgVWhmiFTRUUobqk
AYn1KUBT2c9AgsAITImmVqScjfFQibFlzz9TqcgRyHyKIbF8hXmQPOEFpc/MFPlHC3fkZi5bCbmd
A9ZHUgPpmFLCsVr36n0UwGdCqzhRBwD/QNlYJurcKjgZAp2+n7quvGsWVsYVtbdRJSZu+7rZWRLD
TmYrsbc4dW+cPuMWWHvWR5AFE3JO3ceUPwcZs1vqFR+jRxlVVCRl+JnUVNUJL7dhhPvAcaPMNwQY
W0F1BXIBSxUbRcWExhjleSLOQGiNDSBbZ8MeDLJeDcybHHW89cWUFfTEVNOmzMkZb5aprXYpaxKe
Nqbn3/TemL9nlSN/mOx7w4MaZowZ9Nl1S2SGc3ddQgIjjUtHJ3e1hRNmuPL+NsCRNNoHhxWeomNy
o4MxPE9h1WAWijtN3KOczcibMo6GNlr1RkEz/ypLyYqbk156tLvVADLzyIO9OAbhBnsfZvHZZbsT
1bEK4R6GcXYE29p/Nqoa0z3kYs7z+BMOPlMgZDyEOXihPRtm3w6Khq4Nq+M0aYt7DnbONfb67pne
hvqdY2RKsEIDX7nohI/iBrp9872V7vzGkr4Gzpj5DNJhrppvFrB2nkOW5xYsMyv1ZPl2eO84lhFv
l2YMrzndXfcybVsMrVVqiU04BQpoRjV9oeJCEolnOPhB2gQjJAMtMgcP+w9Qn5yBp5l/zuFyfO6Q
HmjN0ZIYylrbBCgVGcXg3AaVk5UUOZBSjAeDmH6UAHH5Enpj8+jqejnZVB7yvS3aox+kSE5Og/RF
HAj7ZZu4U0s6SRQfCV+u9UdjCDeOKsv2aGZdrnCHesFpgLlxT9+UISPchhOP0RZMJpxze95RFYg9
AUMNT6ke3/bBptYnCuzWTDhbK/byfhskx6VLUaVjgFGlWN7GZNpZcQ1jcbS/Y00NOCUA4/lw/UkC
1LKc6W0acuS4nt7BxOjG52nsm2tKMQNQaUec4Q6jxLnksVmWZtCV56l7XTr8Utuk085OBGNNZA0g
BQR/Qgn2TINeNbPhZkAhzzMF0JPm9MDrXnZ1C/N/GCdaUe1UHXoK81aVKv4SilxuKm2TvGV68DaG
1dNdM2uFh2lMJEbUZQWywDvGlCJH2g5WJA7ucmJp2Q+gNukLWmXK+s+ixLLVNnKY4Yjxq8EXxdq3
+DB6ojlt/yZpK1Z8RbSBAyijMyxapNveN3Mm5z3eI9YUcqHD0DIaHWnEUchVbN1v23Y1T84VoXNN
rePXzvTjDa0Qn4UcaGWpFPdp3FTEikPOADtIWK6IlrB9MbXIbxZCUZS1pNPw6sSJutINlL5ZA2Wi
UeUycfaCRBUf2JgdtfQlS9IWB+r3roLgnkj93Wwz6PBBNdRnHiXuuuUu20/HSHAyG6rH5Frpcbyh
85aCZKAcs7vtrJztOHJBkG5gndVBxN/T89ETyhQxJk8s4uNm2P2YHbbEm5G0Yb2QYU+cQR6VVO05
9qg0llwpHD8NcH+olCWFbQTJuvRYSy32TKnaZLFZhTRTJnaSMZ97qGFQukowF6HpdFs+mu3PaZyD
M/kAsbU6rPIRsis3p5CqJMpLJNZm7BrbcmxbFk6dSetkGAQPulHiy+xTSBp5bQGrN63FC4i4FpRL
HtBnSB4Uyrw2vChoEvuu0UF1R5bEf2lnuqe5bXh8fPwON/Z+hnYtt1023KAzwyp3Jif5gtPflNup
9q2fZksS+8IrRHH2BrfkyBfMwZtm81PzgBLdDd9bVx5xbrvcGEbXe+bepK7Uvea34ELFnr52fzvF
dLdCU6D6ISohVKabkhaCvYH1+JrPsf865+YIaWmSd0UOvr4ULUussc7uCdmyklosi6IUWp+BkmMC
TMzipQntZmvNiLjgCJ6JHzj3cCvFFieJfWxdaT63HD9/UF82xYiWot82NobInFUXPXeZEz/jsiSl
UGfPNXrDfVzPHM7mitP9wCHpHmqKtcEZVvebcWYtEvG8W9JdZoKgijSXLd3Mfu5IiPMBJ7SsKe3m
PQMsu58AY7r7wS9A3XMWJDMR+iedMDoM5bh8L1PsdyQQcrC8xBbuaD3urrIB5N6MXvYNn82bbBKk
/x4iT4wPG4eDzN7jfsbOGIxkePyxghLtUrg1pNW+NUYm+yCgeacagc1xBIDZLjo2jjc++4VvAIeX
cjXRTsGOqL5F0boynVOZII9tOjtwTn2a6WesBjUlxiq9CQtT7TRnIL5zSc5erP595+/YB3QDuJ94
tJ5dHi0PeLRtcrYok9iJi8BjeTB274uVjyB/bcrAuSOkp6GO8diZg3gynb65t/oQmI1OCK2ayeA9
2S6NqOuJmExSZyPiEZW8nTE160vVrcVaUIrKGy/3y/dmDuO3nvjLo/at8KfCb+LzVGaU2NRpA5eF
PJQe+V+UgUkn6avyPpschCbX5i2OLAmyTnWa+lbt1DOLWBfLMeS7+6JZ040OhsmMJi7LxnDP0EwG
KUm/4OpP1X4Mg9q4nVyVXpwkX7YIHXF8sFPKpjZ51s/jKYz9rj7qOfdeB4NvZCWz4ZFW+pbCJGnd
jSIV7Ua7HZuT3uD24NExeuCYpN/IAtQPCn4ZlX+YKs49KY2LlxI8WUlHOaVv9nxl/TMOGwMi/AMD
7NhiXxnSr7ioIQeSoljl7SK1n818al+h8zb3YZcXu8lTy23Qe8lAk5njEPZpFe+oUhmW5ln6n7VD
YyjseDHfGgR7z+HaQKroDRs2atRw84DzfV+wkFrbQDnzu041pjNQPsYODtvwAUs1D/bslPs9+OKQ
vtRlfBgKbfV//C1bx6eTgDakt3Dwn21S8HgUR5d+xNp2KOWosJeNmFfTVr5wnHwsU4kQWSbdNWQb
wHc2JmNS4Ok8VDTaJxtjbuhzJH4IRBPb4WtD4Qzt4w0klQ0wGVZKvgjsLznRp2to1StfqfYeB+k1
NxxeMAwnc/mVVJOLbYtV2/diXtIDevLaGAEK4haT1QCPvNTTtyCbzflcT/YApCy0BjhClbDYZyfJ
fNSYHb7HZaIOcWVS7lX97vBPGr+pI6GC8LZqk+Vo8eT6YVid9yNJYtXvht+DAtTtEBrwJO915A52
Jg6iDmkmCzuxp7AG0+maNTCpVbT3w5pAEGsWwSrC9NGHqYm5oF/ul8zWP/BA8/BV9ApGXPiaGSKJ
HylB7T6mNeTgr3EHNcKehGbhRakcvPe0ztppNzpBau8I+Pqw1tBI2H8J+y4o/HFr0vyMCf/3WEVX
ukQs0P2JW/Rr8mIa2o6bBkUjeVT2wv1qJhasMlZdwC3NTI2s2s3mO6ZNfRxrld3UPbmOTI7tqwJ1
/dmtqY8Sp96XwTLht0/zlJwoGupA56M5ZxtJAPJkhGtwpKha80jxC2kSZc8WftFUfyOIRNwEl3p/
xWlLsS/OPk2O0+ryK0eC7OipUax6S0tLLFjInbWGV9zfcyzp75kWu5FY6uhVXqg0AbFPPR0GUilz
5MuBfQeVJDRx3uOEWqB/rqm72e7zg2t2+TH4I0MDIf8x4ZN5HC2v+oDxKr+tp2yUFrzG5bZ3bOPJ
XAM5ksXgazG184n+X7IAGMDmjbsGeBqrc/kng8mIYYj60pmU3eEEpCA7s1MseHVZ5++yJhV2pJom
uRO1JIpTFI3vrOv+/KEP5U+loVzwdZFwp8v83iCUyvaENNxGLa57SVIWT8TDyBvlbhw+Uvq07JwA
Mwgpn54WKTIMDCS4yrtzhxgott7i4OgjodnQ5NGaJHaqzOBompJxovVGonrpjreGMR779nwZ3FGd
NU+k96xAQdpUrJrYDAsBDaCiSJvsltZwa4SL9rggaoNQ6DxIqir32fqYxWo8c9JLtwa/FDUKnzJg
GbdMk9TrGEm7td+nKthgM85OqLXdjykpqL/ENwwpjkXEQ2v55ot01zOFhqC5Zbk9U60UWOChe8u+
Sk/TTm6yahkKn4Anvp4W5qKcvsCeEiyic5DSBpzDb1oFGfZmbylXzGMrTjbafvLq9xNO6sEfgcD9
d0L9/yShjuCD1QoP1j+Wsv6j+nyX79Vf3qvPv9xm3+uPd/WXU1fyX7tfla2//Ul/6Fqh/VvomiBQ
gK787gr7m80sFL8J07OJFWMl82EcITn9FQsDMYYcGZoXa04fheu/bGYekGnH8aBzWTjR+H/8W7zo
VSD7VdZag+qsTRF/EdHQ3tZ4/K8us44UBtEyjMHpKG0MNfKjQuTe2ZjMojSmKh1a9E8E6AZVvvig
s9SKwprFXjuY0ZzVqONB1W3jacRxPWZfhhqwxC8X+f4Pie0vVS/v66zS3f/8H9YKPPtFeVtfIgsS
cwXXcEUg4vz5JdpDDNum4LEWSDxVxuKsTQgtO+I0vA5t+06U59br+m2XCHw4Hmry/9ULcFhPcKnw
sa/X8BcnniisJhidkucquOrIXhhEGqu0IxvYYNo2GEXimAkq1GeCmH2UYxz9Fy/h72g6v18CLyCZ
4rgkdmAc/PkVdA46d0nA4kCemFyg5T/3qXub4bv4539VZ/2D/v5ae0wdrunQD8XI8udfRIFhp+e5
bg9VPTA5JnrdqjZf61aG+3CmyIh60pqGjM6OhnHE70AR4dWYxAO+1upKwYixsymnfu9yd9ypSZiP
dgFyxefTd1gzwEQv6/mggCHvjMZBrCscSga8polUP+BJ5pSxj3txT/INmH3MhZxb7w1B7GSqDq5K
1sbnpDKCyBDNfADTnd7M8QuhJj6tEtMBjK69M43T7dQVPy17KXacKT8qQwbbUsW3SxD+IMn8aC/+
6z+/cqv8++cLx1fCDEzT8jCjOcH6Dv7yGfEXws8EbhtWtHGwy6b5jQaJbeAoCixJCW2cNAlRfUgc
//PfK/5Ol+aj4bg2vKnAXykW3Eb+/ItlE/oNBQb5ATICnRSaqkg/WPQR9JGgtqsDAOEvw4b1q3uR
M1/oqoPr4gcVb2g5iV2ZJlhXIOq4RLMi0svFlmMD2aN2nA9lHutNEAqISLNRid2/eO0I93930eBx
BH6IsEwcx8cx+6eLZvahgyM0LQ+hJRC2gCwwH6xcnyF8xDJd7wpflwcda3kLHOcEAeI0FjRdlrgz
Y+md/rgBORMc96vnexOeO7guocFfGsoeKKbSxsNuL9//+ev+399rB2cwKEHBDQlzLk+NX99rLchg
K1JLACtYDzoON4Xgf/F2JrtxI226vpWDs2eD8wB09yKTmUxJqdGyLXtDWLbFmQwGZ179eSLrB46V
ckvdm15UoQqWxSnii294B+j6/7xoycx+2w5ggTS7ND/an395YaayFtDRO9Gd4OxjYxSEmjfUoCge
YV+MyFdvgqzvwvefT0nJvV7LtosCJY0bnYcj4Lx+vroU+BS2ZRmli1dHnmzRyYjT5/cv4ttv47rt
2oFnknkZqE2aZ18fHqTnpcjhRtgsvsReDOPJ7ZD3SWqr23hKdCnQJs6WsYdaa6wF9J/yxQAHfS9W
DAHqAbaxErkw7DHYVr2jwbZI9EPZsciLfDLxNtMy0Fb+o+Zqy55m/Q20JnmRoayMjBECU6NRBnsN
pYgdNGVTIYIifSa+OcbM3KENtF2T8WOwxIwj+mOIfg4wl4KYv2+3vo+NIWpmUJj9TTvPkJ2VtBrc
94DupIYCdyDsvWl2X+YesKgpwM9gsvBcrdmzk1v3cLriyxgvF0Bg+Ytkrn9gNI0HXFAftJmO0+Dq
wb4EOSgTlI9Q9Wa+aiFKVYwBC85gfddJh2OLKJ8h46tiO/ncrohUj2XwmLI4tlpfcN/WfZ0F2mFK
R7wRzP4JORlEe1X0XjBF+Qp/Eb65hufoPAPVK2wuVga5/YNqiLBsegjNI7jUJbMfWi22eIlbQsY3
ne+1xCA2GSrzYWzA0UJ14CBeXSr0Mn8xUh56THo/BE8606bvH6RZ/IbePqIqVR6Tid7B6BO46WJ3
u4IDJMwBpm8rqT15Cp5jM8PYBqnlhw49bjx7u3RPLMPd18meLZvPQZcUMf2OE7hcesYrdnVEVeVT
bgSP1IQIVgwS097YTyOSH4uDZaTKsPg0dScf3IwhciWGWxKMCCWGZwlODedNtDY0r+x2ATaOmwoi
yVa2Od2s0t23bfmC+rVJk3O8Aq57tVbFCzphQcR4vsPImAftpgqxces6tliBtIH9ED7BTUHfcUvJ
GyB+haiZST8lxLi9Y1DDkbk05FegcwS2NcULam2sWL4susEvKKHwRzpe8nQw8B5OkEoz7aqjf5m8
gFJnEaREax3LPOAi+LF6aJCl4ENpZ1bPVlOVsJQN5FZGzf/UmSX4qPTZxX/2AGRbXrmx96j3tPol
6enRzdF9O30YMoObzpVIjRgcHqe1u0wsGx23jE0XlwCJ0+zZx7uVgYN1b/llEOGx/ezrI+QBVrjR
szVOC1eu3HdcMzil78VIz40QHnkUAYlMCiLqny0AkOsZWdz7rpe43I0knzSBVqym+FhDprINjd/X
VMJi7s8KsiAyMEphuzC9Qucfzuxx0jVtx7wz2wqgv2HTZ8+nG+d2yWIG3N5Ali8Rs115ZTpD9xUV
PGgCvU68FjNbzUvFdRME7S4b+XYe86Hd2np45s7cE6Ylm6wHTpHP47GZGiTTmQfv5x6tsooApnUq
YHmI2K08B0sX23P1gSvducez7qkR7CsspV8gGgebuM2fT+EC/MlLP5NH+yORoM4RFc47hjFw3YOt
cBkjSwMA1kCduqEYIB+Cgs3cIPA2o2NQ/Zs4YqJaHQL390MCVbFzV/HkmM3xdDoFOqtYZyS6dww7
vmQk+rLocXxHE3pfkSRtsQO1d7Krxd6ZzZB4+qtW1AXLZOUCEeo2XZehmcM+tjV+70isLehOhHC8
IumVz/h4nsLZUvMi0tK9OQWlwSG8YJH0hESisi9yb0yQ74cWy1nqnTrKDLaK6+fPeGOApLQQ4ytH
Pu6pmkhVwuKCjN6pY8dtvJvTE4KXflFbAkXye3UUeK7J4IEbO30DYQY3WaXheFPHOryJI9RdB40+
tWxqn5646VS7hlmintvG0ZFo5omk3EkMtvAyYDGeIp1vE0xAyT42C8MDG63FHdFkuu38pactwP7N
2ZlAEFf+lo/wUll08WWvvs6ssfKctTkyiNdxamQfzmKdL0+ROGPEHWYoDYcTo2t2MGnWsvqPXina
lZYq9GC5+vO+U5p6eNPRv8qgy4N7WffArLMbmBxF6EOwCBFRgGatvO1P54pVcFOdSp4L17k3ZLxb
0mKJrFixeBZepFphM9bCiFiQphNp9iMQnM3UsOhkQOApBcuK0RhTq5FPYwUkFOrrMup8AkJpbbyU
qE8VVEc0EEdKP6qCU/wtVXTEBwS9R5pJqOQ3zaHNMbhSZxw4fZxFU1a1M7CBPAz+YCiD1laTRWVp
Gp7S4QHI627A//Fai8vlM371zQHeTQ3XnuRKn4vn01qp++o599MXPFYfYz1fODAkY5GRV61Omzgg
LhY9WyCWfXE9e4DFXc3FWW1kQGT3koa7mdEAFnW7p80D8tmV2c2EAFkI0Y/83PH2edumhxKqT8hx
0t4QJdurzAZqZk+oGoKgdSEYpHi9g6jCRnbyd00DLjJvexsTm2mZ8At29IMUa/KcejPql5ZhZ/vR
gB0JSgHBYi8l1Zizl6ZtnnBJ7xnMtNVPLSjWT3CU0DSosZJPBF4X9Goj6hyg9LFhPAGMyZh+LjUZ
sZWF8NfjEBAXejZlu3dWyqSxSVRqIMbmQjqpx0iDbtWEwy0TxRjI49I2F74q4IqUPLld5Y1lpDZg
lhnh0yB5HrRyDnMPDQVgLtbWnNZuX0z6erVKtpOoCfaqzGs8TEmYFvEvv+v2jjOlh0CrwIc4ZRGC
fc6ADZagQ+1K33Y0Wjc0zm1yFBw104rpQc28JBxN+TtfSdj6Eck4o63Lgw43e2d69gXQvKcyoP0e
DAIMtuVO13hZMyvwrS6itZ5vQSbEXJ6+HcocELCNgd+9AqnPDGPYQ9C5RN31e1Im0+8CIsihan3A
qzMiGhRQP4WnNHCXnwP6/hsN32+oWdgoNj70LFrE5ZbVIDHDqTOEsnS0Ie3G1KnhcNgwMwvnAmRO
rQ7xcKXlQfJ8p02IdYA/4Dga9smCuqaf8E0T5HImeZU1xF+Qcp8NfYIvU/obhBoYJAbab+Gy+FAf
KXa4VJi7YtB+ODBOWE+GdQFH5z4pcjhOUj9KzSrCOiFk6vnQhTIztAO2oKgLzAii+KrygVyBhNpK
WMqG7MWYmwCzaPInIybSNHW6fLZ6u1VfGGBnyQlkIwX4MuUaUiqGX36p28FG2El/GqEA8F66pzqm
xVGBm/2ZrAHsI5gG0NW9PioakmCMZlbGK2RMOjUcFvKaSeBScdzWiqPSKUWYT2yBc/U7bWwCZOkk
f0tV9E5AcudZbFMQrB2HjHFvgf/YlHWGg0PFum3UEqVgjuxpeqYVjy1XPd6nGNnsYog4+JDQqIWI
+KLuU4myGnQfos41KAs5rTd4Aj0j7fZcIKQIP0+5Gurw62YciYFvA1Ht5suT8HGmI6UtPDQOywnD
FOM7BWS710dH0v025edBK76h6HCT9F7UmkuAmTNBzURcCXtq7sYnq0Kfoye7VuEU/tN6XQyceKPf
4xfq+I+Ioj4LHGdJMOa7FesAskDrWkjyGs0IjogFudSNYD16c8JGfa4+BUjFjSb6zL1Z8qzwM28A
BaR3ujTEt0zn3dekybhHehelzQoTJathQFGQBIt3CgiE92x7/hco4/Iq0bIJ5DnAgF6y3EzVvMqS
ZTsValqs1FrjjjynaNP5RtMsdKrcQAXpimplHDGYYDq48rDkmOY6CkD1SOhjSX8oEyOKdfDSRoB2
rpa+JJz2UnIOIetyA8FLKTVwovczRZhKd1q1VhOWyU1sK1txcgKKa3MHYEbbadwwnDLOzBqSA1Ac
qpZ1pkHkASIKB5hOTcXRg5nNdJsIthT8Pz523ddRPyzx5UJnkqlsOd8Wbl88tMPI3EbHWogh73b2
UrI7KnrMVliTqHPUxwyf8i0YfoQ7/MA4JrC8whKy2WZOrRUPMC/9JbNZEeH4BT60/G2gfGAHjdUU
YGL1o5wQUsxk9aKvuv5cxWN9LDn1TqufehP/tTy7pFh9oQnBU5Xugz8jrxSY9zW6soeOGV2YC+23
alQ59gqjIgnGawcrR6wm1RmoZIOHxhy3HTkUQSER9zKAWGkjR7RNDZTPTD29WTLCGM3IAqgrILHC
6S81iO1EXIHZ3cpsBZku5i8++arN58g087aUyCgO+HBv4N8ZYZDSlWK1c8QNfKKxtu9PZy+6Dh0r
KX58v/B3/tZeoMdo6oaJHaLuniEpx3z0xiRfgJvXFJ0FXrAb2J9PraApmOvVuoc4AgVz4Cv3a4k5
k4lx2lSIL0771W/Fo+5nBnuYQlelGYOnazvwn4/FmNyhp7QCoPLAqJdyCNNJZ9I7jQAqtS40/Z4E
uE/QmuMcPNVIKLb/yvoqxUC3H7dO794bxVqHk9YbR2aQ86Ur5uo4ayivOqNKSj1qILBPGfUS4EWt
Z1qPfJ/xTxHGaMd/GPxfuRZLgAJtgAafygJTpWBNzRs6iR8zdjPm/3mLnIkAFiwmEvJ0BZSK/J8d
qbzMUnTPgNvFHSUHs6/4EpVL7QA8/+hWhfMlOwVe+vhQ7dhumGoHH7So/9IUg/pOlw25ImYp5708
y/dbJzOLIco9wNaduaaHjqH9PnVbpoMa0BJY3Ezvysz6oF11ZnmJGAZtKt0KMGexCBj0kl4/PTvb
GJDnGiK/nWEDENTDPNOMh2xyK9gvQnwf9DzexfqK7J2T3zVjNX4KhBkt1mw8vb+6VQfuvHfm6hCm
LUgbLO+zPvBgDnAumgmagAoCqmGATicpdIdSuXRsKMdE1/cv+bZnb9MfVehkj/Yziffrx7fqXqfc
hK2NbI6/K9vF37UJ/2WUzePcyRHwkDaFNePYQ5aAGHv/6n/ZzcwJuIHA5+szynp9dTjTjdUDVYkg
zoFWoqGzrSkoPljhf3mtdJlNx3V8+p5vxlScpibaK04frQb6X8OKOJPM5++wjW7Q6/2mKOsfXNH4
24NZDopL9LcN5j5nD9bWMiEtqfooyfLuKu5pmGdI+V8QEmjlwOBJOT4hONE9U+Lv1Vwu0TgbyIkl
kC/RMfq1ll/ef9dKQPpscak5Il4OLHaawGeLS6A/mQW6YI8V+fdGOMvvf5LfIifHQyrzA8uRk1fs
6+vh9eJ5Nl1/P1CDyNffdjA9zY3root8JA0lNihhrSGo1ACAQYyXA9gAvWGX+WehVxel7n2WGXpA
YzZdD2bxC0QzTGeUuq7ffwtqKnv2GqADQAlgqbO18Yh5fVsWyOMl8ZIuqoKRPk1J8uy2hJpBrzky
TfNiaNpjSpPsq9ULxdvnE2lpRUsXWXtDzgoVSGVSCgiqWQN2znOtmwnY0qbP859ud3B6fQ5XmxSk
9y6szro3yXGGJFUkkyHfaX2CvDGdGm9N0m2PjhicUKptVJxRtyzzrY2HODA2VVvrUGmBuFdbPQYp
jM0gRzBju9PBlq+6vHj/3Zhv342aJDs08DEV8d3zeS6YoLmnMBQROIQZMHiLoi3SO+CxKvpiaONs
l9TKaB1UIM7GUT89Jq1VWGptQ0KIAB3U03G75rC+hD7gJ6QzJRpV3oxJ5LrvqmS9piVRwDikE5pU
H8YzHI/Pv6+HwLupHIaQS3J09Yx/zNLoZRDnJckmSSkoosDXQnpqqGl58gmAT4O0LzoDgSPR2gQb
qZXZXk5Id7//KtVmer34gQwjkWKaTO51vJRf30WVrxYIyKSNxCIvEcWla8NKyOrR/eBC5ttIw+gQ
nyiPCa9n4i32+kpMQeLWLAsBbouuIMpmwAWLdd+i0vZSrkiewSRh8arucjsPDdQ7yc0MwQJZHYej
SaTPJiV8Btz96FXUewUl4MkmolE1Y03xTn/7CGKJximmsQcNBfIPZnl/+2gM8BiAOp7uOG8mxzhq
+qaxpgh5dZWhBMeA9NWQ9auOrHOu8B1Gm+GXqpdO9g5Dm74slf9BxHobID1gEcwTQdvZb4+J0hyQ
mjEMEel289tCMnrLa1C0Few6wDV/cDXz7QQLWhHyp8x9LQNDgvOTtzF6HyKTYH6J+EIhmiVUY8m1
MxPYLolDA5eEeu0ZcgAaTm6rtXlqEAO/dpFA39h68ix8Y7nGsHQ9jBTeoKiQmUFLQw+1GD3f3Jpu
31/Ub89R7thRg2I0jBSM5PVSk87sVd3M1kLXBCvvDuSiVtCBGHTqJ1rZeJzo5QdDy78k/FyNFYEx
uU7YPt9JJanD1LRmE8U5jc0WlCWF+GwesRRAvh10+m4C/ERFO1x0tKeuAotGpeoZ0m/XdpXZ4HtQ
00KIGRSFfTF2NEIt45LWCnwBsllhUWKmiKaGltM/Ad+nm656IrVB4WQyft6jl080yxz6tWr8YptD
dl9QUW2rBgy0vXp2lBRdiqSC9bnEFmRjaAz1hOEiUsLQYZ96KpmPpyBy1IQSK6L7eaJPcpptQM/G
JroMfqpK2M16LjejOWTE3y1tnrcorkz7dWUZvv8p/xo2XMsGwOPCwgOz8fpbCn/NUmkTNvBvT++K
ijGmQfmyNx0bBU76mJyBFLk48DzTNqeb7fChT3jsaTDLXQ0s8dJb6BGdYn0FResiWzJBz7QTTtj3
5rfTaNOG5Q7mp5KXFePumzTnI7z/JGrRvY60uDeRXYBmQooL8azXDyITmxGs9Lqo9jiMMQ2uw8pT
W8JOx6tEBtU28Nfqm+3jZ41b0b/4m/+lVZUS+jq/vml7aBpj2aEbxjmEIvDnIpjmuon0kilaY8r5
DuOHfueXdMKtNrC/1MKpIKKlxcVgsEdQw6SroNHHztR/oWfUhoPuVSEy2iwRm3faegyA3MX+rhsD
ct3NEya+GT7WzB9obRjojzC8Rh8wTjHyEWoa4NBkz2lKRnqlenyIMDBIE9m9bCf7i14i9a8HR5S1
AOi6q7NfFOalSoIX/mHoUWr6b5y2yqj2AdgUHuPG9z/SXzIL6CrYGRpBQLnluOot/nEqozFaINSU
NhFqCrSFGBBUthoJG0yERMY2XPsSNZ8CRK5e6Bu8+ej7ZF8YHmB5qsYwq47kjJCI8HNa35cqvrXu
o51jWRX34lvNRB8VVWYRnl4t0ft3/zbu+SAnXZt9r1OmntdIQ68JAOJoqGi+HRnA4rEJ7Z+KhXbk
qRtVxtUHUe9N8uyxpshPKcqAOXCwq1v6432lyCgsEv2uiNY2tiKiRwZVTe5Ps5ju9HkHhkIj8QUk
B6CRQY0Bx771N4iWoczRymLnAGZBL5KY8/77OD8oTzcHYdZivynUkPrzP27OXfwchbC6iLK0pUcn
uQf0a5kC8J2grHyEX/vL5dQWB6lkGRQTb46dQqDcmjSIjDhq1eKytGgkVHbH2qF2/Kgi9s+zYOxZ
bSKKEs9jNELl+PrxUtSU3VVmaZSmqXMMstEmFkpIP3awZ9QUpJsJCPQuU85dFmkoUuPwMAxDq2/s
xva+TnYV3OXjcHCt4bZz/XnXur27sSeUHyf2KCICc3eFAkMdoVvubgSSP8fayvH4Giumm2tf77uM
X56NaHMxu75HNSm/yIfa2Dc54gewMSpgwb44UMPY6RZ77Cm0EygAEC3Hizme9nQkkZlMEPKrzMS6
BMuhMVEpblHzsbeUbVbkmRbvEMuzo9siHhPnRXJbUyfv11EbQ4jAfjik/EFqas+GoJlqTO1wv5Co
IYgQ56GXUqnh4oD+EhkdHUFJWz1jTh3WRYXqkUM82CB8l0MMaOt9LWyIILkcEVaHwUKXLLYiy2v9
Q5BxD5qIE/q7n0RvI86UmaFGd/jKd7WV9s9qfB+mwIp6r3A+2GjWeaKu2BMGSCyTgtjVqddff+wg
aWWglZzyICh8HB7YY1YJagTVaCbb5FK5Wem3om3rCFKGvbXWBTKkUB+wKWw4JD160flAXu9JLw+z
Mv1ZmrmFTFvrous2ubSURnuHEEEe+gRI3N1kvWeIYG9VV2LvW6uGg8NkHwP16/Omv4W88uh4oE2m
2QVJ4gzWbpAVJjp553/QcDo/vID9saHYweQxBBr9bKkTOQ20aAt/n8oVmfwFFqv1QbA4D56nS3gg
DB0YRsYbf0WqMIdGQOIDGMgFtku0X0c5UmYIeO9djxLuosHsez9CnScFXJTYifMlHXYVNs4iFApN
bu6m0tu3jYfeWhLIrVj1lrEbDne+xUhPQxLxopF6vLX7ovugrWWc5/YeJH8SZJMEnn4qHZfXq2qB
yj7mSEDuB1dozOVhaArTWkOU07hg7AQXIuj9iGj3SNuhQN7OHT+//wpOCLg/E6PTPdAiR7UTKYxA
AcT/jNJsG+mZEvOG3C20cFza7lAh7k4hrsMuR3g4gJCgdz9mRDVueJH2DczCOKx70/+kFd4apqMn
tx3uSvuhWv0nvUNGp247srtU7KsilQ8TmrUXjvR4nD71jm1ru0dPTO0XRNUSXPiUnccU9HeWlyDd
PmrlxfvP6Jg8w6tnJIFFnB/NEYvGNWfz62dcst61W47Q/cCuOk6WnPe6SFBkHpsRHUYeIhjS8g4K
kHfsUv6AwWOMzLy+IkwPdmQlBQstehFbK42TQ5CkPnYOuca+1juUTs0XARbjoI0uEDK0TFGwse4x
x7B2QmYjasppdyhbFwsjZ/Ujd/ZGptoI/zp5DprDbXcl+scgfBo1Y6+xVRbmGsrY2SQinff4q3RQ
8LDwEu4IxCJNHhY44bgbTuXdsoovq8wtgtBw6aD4tF1trOmTNh2vzczrnzSMlt5/ndabk5bXSRMe
TKVHKxjn2NevUwRQ/lfqpj3WL4qBpUk0OMdjlkyfqsqOt9ZgIxDVGygiuAt2i3S8tuin+YfCLz1k
1OleFcyXt2XANsvrMb1qi0T/0S4I+ehrsF7xW9zjODYDE2EbrbAeeSteuhsV+vhzzUVwRZWnb/Ue
yJ7Td1jHm6jnV6g/bTW3+YKqwbAfZw1dzwlFxRVa+ftvwH4TrRAJUcK9uuWg6Uu79PUbyLN+cWmn
OHtj5PD24Sh8N+eJIRg3jnHr4Ju7ofFxb5lmbW9plQYQp02vjLz3D4uNwkSexgM+qU31OUsUvCNj
2xUr+uYbH3nVvTkJFqabaKEEHBfqsCCRUUU73cj8HC8w38DeRzlBpQZYAvvTNFpPkFQRxgi8T6h2
/qLWGTaC+dRV1WveIQG0cZ3UmX/Xk0/u0tJvd8FYUo7XSFrDoO8jl95AZDPy2zOYZKGPXHIOSuuD
Hs7f1g6TC5umN7HvTVK4YLfHjJK1M5bOC2wD/07tFYkOw3YykvGDNq735uRCpha/bLII2jWw+s4S
5GqgV6UPPREWOFWIZBWic02XXom1hga3VvPeQnXlBteC9Mr0JQEPQjmjK1664vxh/oJRHtPEr2MQ
H6fEvY5Xp9sboHxm93JJ8iZsUY7jJ4C88rNbQU4YagHrUuYcH+bEbiZtf2m6dr03G8B8RruOv2Fo
dgfsSxCvoyg85p3u7goY8/sUSPznaSzlAwP/ODQwvbkXGdpitglOA+V6Wlzu2u7QZhiREZiDCyay
9zDdu0NQLEQOvDOuKzi2Rwm74nrSCcudKIo9tmpxyMS0VIn4+NmBdht2I8eMlo5+tXVML983bc8u
7LX8xtQbaPey1r9bsYcnzGgwzk7TRtsHyhSpGxNtDy+dYOQZ7i6lF0QGyoZYP9hof1ktLBJ6MQqP
rk7J1/usc92yqBJQsT5WusQQ3p8UcFbXBkcZz2FDvL+x316PqSKIdFIsCnXnvEp3ixpkMH4Fe8Rr
SEAEuwHYXIACY+Yf0tVpP9gNxtvEkrINL28qXmDqHhbcr5/QB96Grlxi78ExWej3ggw1DN89wjns
o3rV06s5sLNd0rlo9A0SHjfhwi1aa9dUbH448YwCJsQnZipnLAY4qPSRT603NtRez+gj0fIomdvI
h6ojXDu1OtwdTObQcCjvnLr5gSAHnP8ay+nMZNG5RvkD/GK7y11QocjKamFCb/Kx8TnsVmT0yhEX
EqYML22DzRq05pcCljraWe1O0yE8LmhnXdHXMnfGMNNYaeQjkg5EKo3IfzpaRUGqJXEtfgJRZu2C
CsC9AcgXjAi7KQg4JVOWIOoypX419XYfNa46TasCMLggL0G+m6O2GuBSqr26mMQPpCaX53olvhUj
63xtWeKFlN0BVDxnT0HY7QrRfskwitrz3qxdCXuUgQV2wHRcSAK0lCnA0qJEefrTkvWeLUgkS0+j
mm9AhoQDQkXbGWgB/GN+Q56a3YWdFR6bhXCRGRP5QD+vvMS5u0h73b82Wgb4Q8n/Bn3iHzqPHVqn
/IiekEHUcdCHXQP4G8x3H8mkkzeZAYqo7pFlztVjao6R34zauoZiNLrdsDRuBEcJp+kq492Vjh+V
q/vZXbyfFXjdbVHa5gW7c0SpvbB2RDBWsbP40diWpCwZafRpuwcurw+kKVfABynEhAw1OBSdt2lg
9RTtfI7T7vpfEzFTF/rZMArJEmC9//nv/7pw+KP/8ep/dicy5v3wWy4Pv7uh7P/z3/9p1Kmf/O/+
4f/5/d+jdOqqhvgjyqhr/Ovv3vyofv/H/42GHNvh/jV9819/6x/6pocsGW2SwHYpQky2Er/vH9Nh
1/83A2YnHRROcZ15A+fb/5clAzniWHCaTF/5B/CX/mU6bOr/ZihwAEkvgyUDs+L/iSzZ2RFqQytl
6qB0iRjAc3SfDWgDMxvdDvf5Xe9grL5ZkZD/iuzX/MGg4yz0chkogZCd3EBlljRKXwfCDjpSTove
3bl2MX4fMUPdMxFJJN2qYowSlEKiP77C3T/p/yvOp6rZ/6gKTld0gTQwT6IqIKi+vmJQrQX6n7G7
84w5qFDy1fGNHxjiqimgRX8Y/ZFP/uDlhz4GczPpAZpb/K3v9WIZkd4G+SWcbgtjQEgv5jrkl8il
TdfMLtejMRfig1zmvNl3ul8+uY1HSqB7tLpe3y8CLsVCtuBhzN5UvyYQkVtU9fl3EdRBCCAIIfHE
cydsDppfEkHzX8PsT1/IUmAMDg3u0Kiufa6bub9M5rV5ef91no8K/rk95WlhgJFhTbIe/ywkvaDF
kBQ3h91AH+g6Ww3M5TOnsUKvm9IrzB49poqGaK7K3pp3jPax/0lQXueeOVtnOmLmklS3y0yebIgL
PdXu58RwQNUDzkT2HrPGb7idEsZiG2FidOGeh8QoomppxcP7z3Jq1Z4vDUAJlm9aFv1c66zd42Oo
oveD5ezEUKbHxYGJP82zmYSz8FMAmhnydRUH+04Dk/2rdqcm3pRVHaArB0nsMLuBdj/Mc//NtUcL
BRbFWy0052lGPLjrnGtP0rvCyhHWaqnRUMMB+QKxoZReXP5NOC1qCLHzhNuVddNrqGzXyy1qsONB
LG51UUjQohjhtEcbgzjs0dIJrKOZGfE+rXCnRF3V45TwbSSBIQlJoae/fBdp2o0xWOLKAcdw3efY
dG5SohEagPq0bHJT4yBqwK9+0Ds6bdyzd+mRhNsQ02nMUoW/XheCYWDhdIuD8JhV3TZ0+GlPTvrR
p95g8vmi5dN8OyywF3AF9tPqMMhyenHbUj7bou2v22QCSmi2pncB7LsMsbyhXVbXnrGlOSjumpRc
esQDAUE/US2/gmEyPg0ibq7gnmqk5UVyFCvqJZAQMgjliT4f/WLI9z3ktw8WzjmgR20CdqY6EkCK
OWyFs4f1dTF6ahN0RTveJJU54IdnavaFIKzfaYsb7FsD997YKFemLn5yZQlHR9ZZtWmN1fY/Y8Gx
/EZFW//5/pr+S3yFHgkFki/AfMJ1Xt9ZmSwVJdfk7CZGMFtLNi8I21/Q1ZpDbx4v37/Y2zPDBzwE
WEenV2oQ0l9fDPFKd4LN4uzo/HhPOqLiahfnHwya1S2fraxXVznbpaUPsLmzpLMrrCz7rTf4pS9D
rQngq/Wyf/+JzlqF6s0h9MkZzYnqW6DEXj8RSzIXwmwdXIst84qSfv1F48Y92tLSH8y5I+zWzYRt
BDiP+i6oYxm+fwN/eaWUQhQJPvHf5j9f3wBWujh5YA25K3sPVZwJxOMcr94Hp7Cpfs2f75TpG4kD
kCxCOO5A3llvxyTk+kuZuzvw6Q9CgQwqfYnybLyfq0fkem6xvNta8/RLSbrQNNNuV6NE+mRtwA9b
00InbcD9I7Xxb+nEFHkJgtLO/NCZAqeqJdV3IsPNRx/SC6YFWKdYwSrpQLS/kWL/oJo7Xx80NJGx
4KxkPKPyqrMuzYqAZju40tu1HDtbbBogxy2AWVa30T74Om9eG11rdfAB5XEDwzmn5qdrbJbeoKGg
WrrJZbyg1I8AoposY6lmYXNz4FUHH1yUVPB8VzOOIN6QLhFZmZWcf64JDXKzgo+I2OCEBF2Bs2ji
S3Qh5+nJQq4I+/i5e9CS7EIm0zfoxfnemxbzB3qk2KVRXZL7oI3uexsrdu86AfeL4NZGmRRRqRQ2
uzj7Bq73WzMaOMlNDWbTeOJ2VYybQImbnDfNF04x0izwOv0ucCesMxBoDbIlTTYaFiqbTF/0Pdaf
zrXfxDCP4JoIUythEkzpJoihPCJNdA9WB2oicAk20AN6fVuC/kVh+58SMPG3KxBAsf6iSOtuaxQa
8S9wkqeu0YZbrc3N/ZR3mEGvOQaTLTw82Xl5hIlkDfm2LfNvcKiNcB6yGkXbuRt/mWUgIzu1Axp2
vWV/mzMTMS+9ehRivJN+NPCcGZKIP+MMABjWcjWY9gS1IwekIbRJR+6dtgDokAUCYWrm9uYiqxu7
RUDPmF1aeyaELZBjNmeuHMzfnVX41xVC0fvMSAx0xAvaSuDo4t06ucz0Y06p73gjTDscRGc44MtW
lO4nZKqbsG+tKtnUw2CXW5qIy5W0Uvs+TkfEDDOE3S19FyC52qT1GpmldYjdxwGe0YKBfL+Ywcsy
IXs+DY/tOPzOyS6/ZCYmWtYKGibwx69IpF52sDT33dCP17HZGl/aHOr4WEgmc4toQOEtJRPiYAWi
YbX3VbB+mRNU6dEVsg+9kBL9pwRBqcKfXWr8fryV84oFzlo6dyC2ql/YNXS3g6TvAnktefHh9kU4
4HQHvfXFfVf6xlPdivLrlFkRbixNv8+gI9w1TK3v0QmH4zZjAOFsK7Ndwi4fl89lsvb3VrwMn4WZ
A4TQJN7XaSwi0WjFjSZahE9nqT0UJFo3Q44dYc6QOjTayuPKrriJV23YFdOs7wbbN35osSEvEFF1
btD6Rl6Ur3dY86q/T4fyWY7eApGWJ5x0R4tQEb/TEztam0eAHsyJ8LDAAPw6pkcQobM4XTRG0fyM
YyN9bHSWZGsNGQm4j5RcWxiXEL9XkC9tH9LqxqthTpx7r53SGxgZNAVgCG2bRdYvdFvmvTbay2Ul
ZHVbO/7vtHW+1TryZZsOynYMnTSbv3qd1xzsZNKwBsQ5O7WwNhm6dL3wJ+hrg0y+StF9FQGzgU3v
GPK5BFL2JfELl7lwW0WBtTQ7EUPLp/Lpjmh9OqEMpHvIpSj3UvOTnYMO2ZaOeP0FR2rtOuOuQtxC
+OGifiDCzthittOFgSzXjp9KItObjoDLfltOwgB0xiAhDwAn1bo1IxuY8gNw1z6NTLl34zxq+4KJ
621Mo3JnNHDILRo5ne80D6Wc3FtnICqwB9G5trLxoqycu1Xo1v2QVnwTNA3qMO2m4dI2uolN1af7
NJim7QAIZDYbcWQ2gYKY5WK7tECsc+L1/7F3HsuNNGmWfaGJ30J5iFkioEGAJKi5CWMmme7hobV4
+j4oNV1t1mOzmMUsZlNWmWXMAkCE+yfuPVe9dMDG+LtqOZlmzRss6zYix1Vv0Q7MXBA1yeeW0l9t
X/R3gxTjJVni7FGwgj1Dgcghy2D7VxmANDf5qFXebqUHOBc0JNF4JluHIRzWE9HPF8IjsNtgbPzt
jLpfjUGt13XIyjhJZf1A+GhI3g2tnbd1cvfViWvsisTKNRulirXlp/dQE/srtO8T6cokzzCDS/Vz
DCaRd1ylj445sUqZE/vbXKbsWg2aSj8YF3enWxvHE6BAvZ4a775Bu7IuKlLn68l5suIpEoXLSr6P
BzjiPdPGqt8whfpVDPVJWWINnPJXkbjeCkGquxsrz941hvlUpgzSMMifCzEwFO+Jy1sJYArvZHha
66oei/hT0p7hmIxzfzvruaO7XppTZ3Uyum3F8CPJS7+0QYQjzYrUSBx95Jekdhp100d9EhbGShAv
u0VgiKIJqwllR7krtU5PpWMMD4ZFZNUNSkosTFkdhdeWV9erH1VqkWNKWMRX4jbl14If7SbFIbSP
JD1SA9zkLokb551XXW5QOgiogglsmClYdsqr1FfIBuRYB2aPYJubsyE5gOeiCvcDNN2IJA/awQxH
F3FK+aFyRMLRL2rmjKl5zsaq33Y1h7dOmsfG+pMq5ggrwCDtc9ABhGwtVT3YYzZfPZkGJ7Kpbnm/
vj6R/DFv3KyL35hfzu89Ql0STjLris4fThJO10OqbL0D9ZN8ghABpOe29XaoA/+9kqZ5SBRxbtqR
XLeKfCwvVespdeQDk51uY/JuWV7M4tQNrbiLnV4gChvMZ8xdyWOWdM6hacfgzg1lvzFDLc9DHvDf
2nC41L7+rvJaP4O7NZGiSXPPV3RT9+2vIBdqW2TUi4gabqdLqBRk9ayi7l98bz60rgOpqTnCvxAm
SXKtV9yPGckLEtJOF1mVF2+MPvDPDtPKa7ck4lskdf7u24S2G4b7OqObWpcKyXtRd8NOjAP56B2s
B7S3yJUM18tvocceZ5jbbF3fcNaJyRLdJ5vuyRDEr1GYZuGw9SuhDoBNqq05u+4qs2rm1i6GOlRh
QFMxFXvuQcuBrKXAfAvczn8I+Hl0gshqilBn5yWpv5mVWhsiZR0q4KwBVtz0F6N19piR/hRBc0SX
Jh8EwGoQB0gX5Kg0PCE+Z1DZIqodzNuMo86trFAYkDYcNPG2ifMRe7I1q82AWfN+tML+vuvI56bF
9DB9ZYm1JeTOUyvQxc0Fglj86je+dcXEap7tbqyOjpTTeZqm9rvFmIQDoFbqeSx4MQZgpx9nMsPf
QUKsZ5okemMzlT5bIEHWjVc0FmKcytwCBnWGFefC/GWHrX+XD+1srKRTFpsm9ItrhWzyoGo9/GTI
TeCPOUYFRykYdi3x7dXKtxLrhfhJCJOY3hA4Cu7rgfEPeBMvNjHZViQgB30dP6P17Pnl3/hK7ZjL
HRAlkVFn1l6FIRddbAJC5LUU4fROal4m1w1Y0gYWiIrjje4dRdZSqcNLqtJha6fYjhyaoYnDxhAf
suYK8qs4+/Ds3gcHZhgzoAZS1ccxD89hVle8eIh5OfUM83tWPIzts9pY7idIvpRMTVvdV7Nqz3rQ
VwKdfrm+futzt8frPNtHcCNy3/fLe78QNNOSi4TZIW1Y5i1AyPNbJuPtusFF51PdNqzqGBFN6yL3
6nWVBf0d7HFSm+JebX1Hx+hdfVD6DdQ5IuPHLbCTtc4haXC7gs8mNAYc9lzokzEl1Sum3FMffy+u
fw1G+5mU8S+rVnju5adI23dlu+4+l0b+CDmPTYNZ+JFr5v5dNgRptwbzk69LRNiw7ZclvORm1bBE
C5d9nhnkZfuZTZ0E6/MciqZ7Mto0XVtlgNnPrez+glud8KzWE+IL9SxuYl5C/1DHQj5m4fQUT7mz
J+6m+JjQTZTYX0xnz2hp/BkAfD0tqG1381RCa64qH+DyLIOV4Nr77lFMMHwl2liyPMdv69yU404A
NbgpSUXS434wLVKZys5aNVYfbLxSEpUgw6NTpNWjlzJwWVlhUq+HNqkOvijGV7PBckmvMgDXT6So
Iq9c6FlNFvdEYnjJH36mYP8D3J0NruFxsXqNcqNlaY1jOgZ6Q/3f3vukvChY/HO6aewwv0NGZwhU
DUh2SNsiRh36KUeuWzps5m0D7lkYPBno39FvMzR8IaOo/KBhN0+MKMpdA6CKh7sPd/B3wEPEbL30
GA0h4HjgDct2ctjA8gzbm9lBLIjNe3kwBrPfTH6YUQazJDwAmzLOpoIzDbkCpEWm6vi+ofjYCJWS
fYQlb9fHUB0SlBunXAYv2WAe7bwtfy29THbQL9QTZOHyaREOgRQVGdPJDYbR5qH3eJNPfyqRhdc+
te0zytN4xT8pf9+Ows9cluqpH/Na8Jcp2VYaTV+ljfDFX7ru2U9Bla77LvnNwZJd1DBOL6M5Jwje
SPVm9d0Wn1DFa96DSvdKBstdBuT1Yi2yfhyaqTySGugcKtl3LMFynJSGLd+Sqo8JeJMFDxCzl9EL
iHqjYHvLw8RhYw/CfkfNU5H6Orj45fMpJD/bH7rblCG5ZzI4vKYuk8HJmPNjGQ5tSIjq2D6S5+0z
TlmaeV9Qr528rPN+RgsxyWrRRfLo8FV9rAM9F2pljHi+hE9/rDK6yT3B4ujIC/ww21oHxV4Vo35r
27z5qDXymY1jsjgAcLeY5DzJUb/0loBzHcxEw6NxR4BMPEqzAuNgEiwyqIvhmZCLRFnthxg/peHg
8tOzah64Jtl6OwukBC5iSQxuML8aVlG8QJTPYEYFYl3D+aI5LLpL6k+Pfhz4fPmHtN9XvAVjVSEi
/cMfXS+CMUlpmWLCGkGf1ew6JhmIq6EIwvMbmCcuMAc3qskqfLE6i4GpSRAhiWdJ/Tur4mmDRdm+
t4Yc/rZBwXOJybn8EirWiKsxW29iC8BEVBbumFwdpbpdVjsUu8Yy9/WpJFwAYtN85Y0yQq8aYmtG
k/xpLvV5N/levk8dw3Re8zhu/wy2Jm3GZnJYHOFRecgq+1mMp3BOPNIUYsufoaikzbimkjaMe6Sb
XXCyiBC7RTCK9z6f8j1Jd841W5xwnxgJuV75UHY4LjDTkbOyoEoCsJKP5DaONUfBsvTkN6VJqLY5
zqJ1Vw4Ut/4SVJu5bWYb6oSJ8shLBIuqoNTLSow1YWiE9J5TJ2xfkgF97WiY3mpEno9xO5j+LFUI
dpzeezwuRpn/EsBaUGVkXJEzN6xkhz04dyiWlze7cNs/ijnQ2YRd8s1brz/6eGxJ9gBecuQq5Bjg
dwPlau7zoLmIQM6XtvQC8or7JdsOYjDvmIYhYvMHOA3rwckSorHK6h5luHkpTaE/aS1pF/2xDrCC
NSnTdQ7utxr7WLoJnPGkOxUQajYaRU0cgVd9tDWL/ozIz3dWSjxXOKxp9JLyqRji4C5uhEy3RuD8
ymwGUCMmF7dzWZ4wz9zpYTmmKRw2aOo+9cxiyGsy+9nzBF8Y9U0lT5UKrHsynuFV6KZv/BXhzu12
LpbuMOe1vamMBEoY8rjmzdHesNdcX68ylUTdBoHySEEarfbYLDr9KimXNuNYdnseVUnQZm89VK02
yIRIMVGCaDZiI+puNKdomuYYCpGvuCWnAQAFcLD3kW74ly3qAH30Ik/2MP201vDTtMaLSQuwynRi
HZAKT+sAj9HWHTlCS1wFr00l5TEIK5JnyGj8Gfyc/IulTOYLky1uhpzCehUYtt+vatRlm6pJ2miZ
oDO04XjLtPCdP60txvb37f+CtGNv7EBXK1eJjWcPJrHaQ0Jrj0zGRIDrzMRioD5DJsqbI8SBFnx5
FciX2Acu46+EtLg0GgLiZafYfxhUJ84dZ7DgbcWYnqaWiU7q9Kehq5dDM2Ln4en4MPlXgNAYwgWm
5Kc7r5snuOMymNbNvHwGPXM4uUOvQXJ1MN6TvOi8w0LknXMN41kigJ0dV7lhuuS8cjtFrqGAT+l4
FhfDmsaIWoaIzywN1rW1nFWR16eQ6M0o7urqe84mxm15byCiptc1kAJHTj12ZEsXxDKUQc9zYFji
0FLSyhVCRHvE5cWV3KX2tAP6b+xKsyWatbmJk2RvV5fWNoqtiTD/UPq2NDHpSuupChrvN6MMxPRo
Q3BSGXo6LFZ7zeNGPVg2c0FMERk9YA9lL+6jDpXOZvZmkGxBUM57fuPdGC32DWQYjHxjFVFIQ/g+
Go7/qhbPw4/TANULFovRbE4AAXcvwnbPOQdD760DypX3wfL0KSerIqI4qCD0DGOUDDWuvTAcz5i/
iI/qTGPehI5iW1fQXz36M10xrJ/hhJ42+S0b5NFVhprHEazR0kQWLzmQhmcp++VqkAjzyr6+pCVK
4jxeuT3CIYImS8Di2nJQmXfBa4AikxlsZj91cwEXf04IFHQ7HDUL+KXKcQLMNMivWtJ1i8gt+KqE
7pSj2aWWJOm61OSA+OYYkTsdK1AfrqTcmodPjtGaABFkrnBgy5HSPkY2emALHSzR3NZVjoHB76+d
FYDUpLwvOU2DeqTtsgG6h2LE04BA6lKXZXwManzyqmzAm43CuwP0V+9HgGHboF406IyWHqjNPHSz
uiL/ApR97jgvRBGsYEh+JqX3FWZE2ArAP8mKiq8mjpE0xXXReBFYwbPXx2JPBoB5rUpBumrhBMd8
HrNz0qbPhYJJaCF8+lNbtvXkN677TP5GfCCLedmAUX+KbZIKg9gbryTGmiD0RXqZuEmhUhebVur+
GhuLfPKWnKy1rvG24G9KRErKOY+FS+yqV3Xbvi0h/Y2c+SiLTyD1jN0U5wf0gP6uJ4cR3Wj3p6Nb
+SYpJHIqY4r6uUfoJRZYfWy+EDnlB9MuSWYiY37nq5bZUEzuJ99wR24WZ1HPXd9vF/axTl3wO2bX
tTHn9rfb5ssJLiNxCH1H4HeTutidDU5S2A89iZSQp8rUNGqMKHawscV9DRpzVXdIS6NGEIShZ79S
ZLFp6PVmnZ2CBrVIZWxCXVyGxCBsKRTffWDIXW9M1mEuSJnvQF4+9mYTla13Z4MUNir6u7KT7qmp
1T2z35LdQb4rlX4sDWH+UtUycjTRDttjPjHOH+YTA7CXFHyUrEw/YvEQ2UnCsA/D08EhFlgWmsi1
Zsq+nQ58Xuo0n8si71ACWqTEJ2UpV5Ytc0h6JAEI3xDYYmiBoAocfHtuq1UZ1uC0uoJNFqWHfxLG
BERqoUH2spmcJAdeQWARDRHf2gkBdvCzCEKPXF6sH04JW8nppy2ZWe3a9GWKbSYRv8q8cJ+8WkK8
kspWzWo0bG/rzrrbZ/NcucxaSnUURpJ6OxJ5xUczWIb8ivkLHs+m8uh7Q+vZcX1M0CNCdvhrwybl
ub3h8rwNxNgZmkRYMcpokvkxNtz4qa4cEGZ9iIPQD+xDKBzQRIR518JOWGAO4zjvB38hdsePuRV9
zVcKpXapn41k0awcLUeFXzKJOYixhPiRWSsjPnkJ/UkkU88aP8JQp4+hxAp5YJ2ts2ju2Y+woIUh
Cd8GXwF+1ZEIrtXsdcmql9yHMPTU7TwNib1GGX7V45A+9YTVYHEuSf1x9MJMc4wLgQ4k8fyPqsj6
r7m0xXfqp1AC3LDPVyNhUICySEEggg4I6dIBR61nq9sjHC3AJPCrphkc6BYJ5zUeA6N5Z1DcbDS2
VFaYnX+EBMUMn6hU1+3IvF+yi2eW+J+q+t7R9qHNqy9lZigUvfFecL/Lsrh3DHlqdWc8udY4Y2yV
hXwUFCRnvnHqAypVTUdcr8ZWmkTakE0uppsH0a722VAnbJdmokh1uCM76nOQw1XU07tLMnMH04Ey
A0RAfZiIaJWB7HbYgsoLXhKgUQ1f9Dxh2ChxyiOysford3fBDZkyJdMAlje0AXSqneFOhOUsQ/5D
OH0WNa7TQuJWh4L09lXnx/RMLticAh1LHFVhOz6FZdG9yBscb0ochtSZqC8aAQM5SufWMeKNNfnW
2goUQ4q2jON3+oXcRLnq12s/dZbDALDlM7E0qSkNjKPT0uHNA5GW3uTICWthpMaRkfdwwakWA+YF
s5bhfjatfm3S6pAkmeblxcwK8VSPoUWhxfw0MUkFgK7z0UrD2s0DJy6z1emclKIBYjgt77NP15ZH
rLKYbHh8We69Jn8fR8t5lIsVy23bOfNnZSYEu1Adn92w897nGt4p60xBaZ0ugtTIOTTPE3ZX0nR9
Pgb0YIbe5a2M7x1GQ7/pTelCFh1fkkEWDCr4/PgkDeVbm1hY2QstXLJum2aH+zMac8s8uaHBvqAd
0pe8q/dNX41bkY+vXZvXfILyhQUy5MHAxycSz5t+adrInIlvXotGMOPWxr0jWSlyriQvXelnKEYq
OpOBL9oq88wGaGVyqWr/lhU849prgPFkJA6nI1c2g/xoCRIm8KpCre0MQP0C1a9cu5Ig93ObHh81
jLd2oR7bvS0qRI3VuM/pP99NaMRbXGH1LViz/iaT2UQHZfMFGZMmTlY5iUxPGYDLKaqtLt2ncUrX
sCz+na+C/MXGndbseoZ1kH1dufC64GkMhScfVZ1eOh/LSjtUyZHNCSsHO8/2UxNm+boxQawAKhiX
6zIlxR7hGaRumyScfZCaZN0Tzck6Ydb6XXMq/l6sxooKxDVPXhUPzImnKjmJxeUIE/7w0KWszQY7
ppErbeOUJTaO2aAu3UNjD4SteWJMYXX65nGYY9mxQqtI3FFqmtvVkpU87B0eqvXY8ZFHht2/pu2i
6D8WSPze0OzGwMK6F9oHz6+4Bkcl8PFTQeGk7uwzHRxIkYat4rAmy++xqL5b+FE/JcHMUeP3xl16
q3jHxU6u6PXKiwOSMIKsrB80vv49j5LzEDIOenWV7W9IASe1clgK+j0y2mxoEDjES3LAtebcKkBy
oXO6JZIO1M5xPZ44cadooJbDa2aNO89J2fuXEOZXaR1bbxnjhmPMFmiNNFsRke14156MbPLcSwF0
wPdjrDkll0eqJ2fdu8JYqRE+XKb6cc0MyVmb5JMTK2Z075hixZPF9/NRVXAyeumACXWX8iqQahHD
DEOOm6ddaw5ZBlSDezAxfjNNSedkHaQifwJfme761uve6pizrgSdpHeIsskwn03NO86NXg1RVlhs
lqTftRu/VL+R2tsfYgiSe9zFhHDzYsBxBvaq1I4AYRlCmTalxyeVlfiOnPmkcACyjigHfjvgI4Iv
YzQ+imD+kYPvnPGwPPCFYlrPNCkiskw/KMPKEYHr5tY5uCqfLuHC6po877HtdyWHp4pU0w57vtY1
5aPDyHTMA3UAwihf/Nps59tFBBOnDLN5IrLb95EMLOFdMVjxXvh589uW4woG+zX2ne6+NvL5UJiT
H6WpMTRRN2rkM6pL4kfJsOiJb1fylhaV9T7a0N+Ax0nMIUJu4zJe7r2izMAE9PSX8Ywvrcss8x3V
ZfeSLpCW3CC/ZYksVnBQDTFtyMbkTyiXYF3FZroJvWV+qsO6uiuIJNpyW2RQ8Jr2WEwmOcGLOdis
X6y/dck9GQhFfTI03Zcts+yIw8Q6GB2g39sd4kRLFszb1h2WC4OW7rCo1PhKied6hX0UHAuapH1r
qJY5rK92U6KTrdV5m8ye+m8jJJQoGaHUrnx79DLIhMkdAffALss+o6R2mw9C5PVvJ8yYpSu5PPm+
jYV4pt+p1jPrYxQMa6bGK/SN/GfKlOR5xsXbRyw3gikyh659sqa8vbhpWYuLCVT92M0WKeLCGPuN
oNe60VDZoOOLfJgdFdBJerm1Dy0SMSqvQ6NiVUz1Qu0/x4NjX1RVUohYPkMbEmJ5nnn0KtmyxAyW
7EU1ORISAwnV0pZnozRe/MIg16zJnvPKqK9l78aEok3JraotCY9NklfTaIb7uZf+szOlw5UIeAwC
+nFk1Lq1Xd2/p6XXPgjLmd6NGAgwYXD9ySmTADxz3L9zrLx7aeacZ+NWH4x5eiGf2D4VWWvuMqny
B9kBR43FkH4PQ9xu6xEobZMPCa2KyemAwGpPb5jIqK7sTkXIP8Qh89t6NzTB8pHLuiEicl7s30Q7
UI+1FeGDGXXySSdCrgtIMfvaLcjd9PwFGweUy5q45R29dMDRJKtDDtRtS1m4axy/P1YEaYJcAU0s
wqzkrOVV5WTn5dYjw9bkNCyds2Vmq/lXffI5KjM9SKLLHiq/bjc53KU1Kb3BCZQyotjiz8i8xpu4
M7K4n3aU0WFDxplbk9euoO+2utjXHlNjL5AfgVLfqJR+AqatkWSLncTWdvKRqNWtp/HUlD+pl5ar
0COhLyFVIodPS6YiwV/5cCcbeTf65esE0jOYFpgAGYshw5qh6Uq14ZGNestdD4lvHQCYPs2ttUcx
FMEBVftZF1kkxgQFAluhbjVOLLKCnnFP3poraRt7LMpHGDP7Xs93bs30e8aueWXU5e7bYNJbt5Po
kasF7hjbff3pY6nYGsDEzgH5yU82+69nUdAxlkvCKDwvrd3/WEqTupHV/cZPO/llKOWeaYHN7RLI
dFe0SfvyNz3j/20zyO6nvNko2r+ZPf5l/vi73eNff/x/wwuCuevmIfjvw732X838VXz9ZyfIP37m
Hz4Q/y+Y+iZ+QIFd2cVZ+k8fyM0hAm3NNJEWoi+ExPMvH4hj/kVV4d2ybRCso7JGBflPH4j/F64S
iDeMJHA48L/80wjzD3sEn9vv6X/Kn/Iff/7PdgmOtP8iDaV0wiZBNJXjwjdB5PzvCtQUM6IN0bdg
pGsE98gSRx+/4e1iWKjBJGfghwiq7FAwfyelu0YiKCYkACZS6H0z2OFBI5p5CgnsLNaDr8PXsg+c
dzyS/mVZTPclEXF75tBxGPs6+hfGM+eCfmkivK6Rey9HChkFJtLCW6HpfqcYr/tVW7Ms8ohWeaZd
RVuQGHnxhwbaPje4HZ8RUYyUZaZ95PqyHtoaynU/3xLaFVJ6WQVyRbmoX/NAMEImIfMVtqY+a51j
/erI1jaoGphShptkQD+qdWdyyaJtFGlgR44mLqjMAmzIUtT0CawmL2ylwHO0SPfcKc2A+/RknZEl
/0TGLVOaSXeXnlH7OoyDdaBQ+7DOMO8IaavOLEyM45SZLs2BGi4ulektUTd9GjqzOzMWWTba94pL
bbvtQWatteH4Ha5ZAUAeVR3dZ4ZyJe3FJUZFf/Fgle7AuYUfFk1ftMC0PkqwLRvDrtP7LHOavUgZ
JHVNNZNr2S1fTHaZBSaaTLas7Km2b0f64mcbkPfi2OBReonT6k9RdOCbiq6pyT7K0/ED25987QY5
vs8qbp8hhcY/yNk5Y8hdBE2f1BgWopm1eHLwzB65FKQj8zYRguHm5jqhFodc/annenS3KfDHhyJA
XZSwzTvhy5s2TYWiHNIqfcy67MNwPaOeYUpiOEZwi0FibFr1S3HHeDX/Y82T2MeDZbO+Ki3SG5mr
3SGvgu09ifqJpVG2dusbPj7x/8yTLh4XRWa5MXnOOc2kXOdG0b1N2pObFjDzmz/o5JUsXblua+NK
wEV10sNo/2ErL1a5qWE6674Gmwf1fXq0bf2tVPCJvzQ+V82Ch2ny4xPiTLHux0JIGJAlysG4c/qU
DpNx04A6/qpKNILJ0s5HTJL+PaqjHXLGl0kVFg2FLwei6Oziq2n7ZT+zTdrLJFB3zVyltGbZxpZT
vC9hQMmVszje40h27/3YjTNXqjcda6nEh3IaL9ikwFve0aQkr7LK0kORjuMny1/za4wHhBQKEULZ
BsFpdGoAaSH7NU88JpNVX53hZujss+FLO3X9Ksgq2DVl73xUQyUPSz84t9zQmEVPyWT07OZOotCF
19VFtthgV67jYnlQVDSL31T3YkrahySoqreYndctX83s91g9aCxMWoCtjjOMA+asoRC61hVpgyVR
kefOPeb8ad9NiumMMnPS4QfbGl9xbPlHpF0zI0KjPDP4rFdep+37hHCKc1X01qZTXXNsYVZYANw0
+i2vqrxzyoJz2MRZZ/3EaWP9BN7c/fSeqM+UcFOzZuVNbqqwh2wzkC5bA35pG+ZYnjm+JI0q6h1+
VzOLCtGn/jqc0XoT60NvETtanGonrNW6LwZxtgu/35QZF2t/C7VYl35ngt1yAelEhaY976CPJdvF
N4JLF2AWX6G/cT4A894QVpM3F2tSKfKFjBaJVxfZN90QSNSAp3MZ1V3H5PvdIQkuj5io9I+TMZAt
yWBoYoci7U+X8ZNYFVWrPia0HWQROykSGZ/eCtEwcEP/gw0DadIKCQaBArZAl2qN77UJ8+6YhJPD
ZtMo54OBGBYweg43B6llYvySJWpLFKaV/05wYB7gTA2YGFUohZ1yvh3aYzxzME5ImqBaE9bT28MM
UNk2CRIv7ND48NREkgZ9LISo2Wqn6eyhjjb3Cc06Gw6Gz5cxQ827wVqFhwwNO1m6rTHqZjcXAYPA
EXLnE+04dfvIUAlJbNy0v0wY0ZpKyPPUif2s3T1VyjROfrPkMEuqrrmFrZLOout8fjJhJWCphjL9
kTTwrpmx0XiugMJjw05bhm6EKHjsQFsRp6SgWxqZlINWDLqmdZwh+R8sq6MVgM06/QGsUrwxxG4p
+9s5i9Bfj3IFFyq7YhqO3/oxbM9Z6P5BhNKg/Aiv7jSRMb8I6fqrKSthlph5eOxFP33OKKcZ/EAR
+nR7E/WkzNP5YHqS5jzBeLCT1uBfY7YrwYNMY9aps5tbjFSR521DffORN6SD7NIs7FwWjrM3EkCe
6xd2A9MJlJh8Nd2EnW+fuS0CXxNj0ug14w/7mR6jBpgINt9YOBSOM/isQ+uvOlS3MG3zXhwMI+O5
b3gQ3iuRec8zzKMTIdco/HOr4AtY4gqZd0scD7sYGfxLTxbZOc2FJdepYepkU3iFfmdYw2v2syA/
ei6L7vWy0HQQkBa2R/xf9RvQntw9JL6emXT7OamgNFdZGzVmi9K94BdnOBkbVODBvEAxyOy7Ngas
q1Otl0thDDwxHQasNwrt/sQZan2ZVje/jWYQHLLCJfo49hfN2Vs40JX4p1kTQEv7CPn5x3ZwGCQh
cmOIKYTxUbPdO9lzYL6Q4cylN0yC+PoifJXLxM64CrNH15lkux4nMaxV5+RnJ8MeRCoXnyyHbnev
Y5f5Y8hu53UY3BlheOKUn0ZaVocQFDlhCE7lPAnIGcOKU9H4hRpyRuPL2A+BI1pZF5FEQKkQ9l32
lbAiqXbGMKDz0B0BU4SmlU2903Rx713e9E9lYRY/vqL7f8M6cgM9zKN/1Y4mphF3CJ/koJeenWqZ
PoQK4Cofl0dqC+ywEUh1DvpSa/U4drC9Vi3+8nUzJmtLL9kvflcTCJopqF7HtuMWGJjxu661XNNG
3fZTpIU10GluvTLp8+WjAeMeonFtmK+VZh8dLYQG3A2sUFnIMJDCJJo0YX/nS7shkIdI925NAk7H
6pk8eG5Fu0WCm6r4Pfam7EAMHCMtkva6exRW1WvfTt5jNyYh6oWE37tuivbByojQWAAaJSszcNtr
b2XVdQwYBzDjM+2t11gBT7xMcnS1s3eHysupI5cbjm+GmH0CWnpra5VWf4uRTJONXsyOitZSCqF7
o+8BXDGrIEbN/los+kAD+US+srzWvHjNxCcSZml9Z5oTn1DlVsneYsP+lSaZ8xvoDi9Lhrp7DdmX
8/mqWa1915e/wTdley/rw9eEVcZOLTWwNqOzL+ni6HM2C9w1OG6WnR612HPTMkPLPYts+Fybs496
ug3vIJcFp8ntmKottt+hzEpU+8lCHj18VsB0yKow/4l77RxFbMhfLFFmVgwtEyp7gswZOOZhZkD/
/zOh/88AApZnuWS339Bf/33jeFRfTaoIgf631vF//eTf28fAJwU6wOtGqi5eGu8Gqfs7RiBw/nIc
kw6Ci+hvfeC/IALiLzvA3QWKxwlgEAj6yn82j9ZfoY+Dk34PULbwYHH+l27xf9c9gn35L90jhLMA
yTKIRl6joJn99+7RpEqWsTEvu9xylybKepPpBOwCR6HDFwRJmiL23lo5mxmbExC3m6pNgyEi7QjH
VNvabsHajkX7f7B3JruRK2mWfpVGr5sXxslILqoXPsnd5ZJcc0gbQhEKcR6NpNH49P258nYi83ah
UAnUpoHaBRAaXXQbzn/Od7TQEWUH/uDvhtKqbsJ5HHa2ToeHBm8hEfNGQ4oBhLNqTZntU/Ih1/xA
1abyGr3X0Sj1jfFDPZ9kQ0sfRS91RsaEahTUHDfNNmWZByn2ioAStjxtygdcEr5ZLZXhnYAXjI6X
uWMqctUE6eIiLnNAYI7pj9llXQz3lGv6076Y4vxhGv1uz9ZO/5s91z+ArVD3Msb2+MkvB6mDFjYK
SRN3fAow1uo17iTClAyM4ivinkG+tjTZ8pXGTUMyRU4JRsAuaHbk0wHgqDnObrPBZpsu0s4DDRuA
rzs6lGtxMmG3ZukPizjY50SzBQjivK65yHlZcBlgsiHjCbfemzGOIjITJjs1FLp9dNWYnZQjMM/3
TRNk1zMm0GUDqWaAseUGvfymqqAe4f36kehmfCudQnOgGIfmt7NY7leKFd/ijNe2yLSZwcqCCZOj
YaQ4WzChNSu/nYu9bTn6bC3WdJ+7ffXLrQBJrgt2oXLLNdD6oTrPWBuG2aimHrrb2XL8uN04XlKi
5Coa1taQJcunxi0nLFFckSGske5q1pdM2ZdsRVRCi7TLtyUAFbYbWYeZjlz29gyapLtOCa+Rzw64
D+EKtqJrGzP8zm7raeP0qju3xmrP6dT3e3douoc0D8Vtx5XPQjPPK70pydFSEsdUWKhhvhVTzgZm
OmZ+TRtQL9ODnQZnQZbjUnOjsnBqV4upzdXgdc2u8W2zS5OCCJchPyaSOtpDAFMvc9tkr4QT2SPd
BahUyMHkRxUPy6PdzPO5TrgpeQMlS8WlNjC36VIv6StdM6YubtjMaCnga10FMGdIFjI/V4oGw9GD
KpyoCwl76TEzMdG/sS4FOBxE4iNn1mbvVJQY1a6sr3yRVi+97bWYrtxn6XrUJUluuSrCpD9dT+xS
lCBXGZWGWhcP0cS4P7vUKmvgZJsszNR1F1PGFQ+ZeW6TGgP2OM5HWjxcmFHwjDshlSGOe6kPg/6D
e8GJk7Pt28u96wAuxic23/Gsu1ck/IJ2k2Ky+wqxqd0zzHA2+ejbj0uilxcLr9e+DC5mB513wbRy
57Z+KdPaefVwE78UTDa/xrTPXwKMY8TSx73HDOsOxGKm16oY5Nk4VffW4ZC+r7llfugo9ukfd4Lo
kTo/5uJpmYl1zhGXjZs1pVjNnJW2OAUXyq+l86EXzlmr1lLes+N0yZ030VOHJ6P6CSgouAt7V77n
qaW2aeXHyQacyvRAtUu8Ny1mwqxqys9AxdgSGm5ZGE0s39zlQU04MBJ5++UgnrxcHoQnKsWXrzTQ
ut2EWpTPSyeCe1PN5wCtbFrNKce7NeKi5vfEk8Q0NbTfXDdJLdxDc+1vorKMb6F3jEfDGvEQz1ny
u0qLme6gaTavRVTTuqpYmveuvJzLcjd2v4q+WWiei1ywFKpwiJdGtU0h/QiWjIxn8tBXSf0he3D4
DlZd/DKogGfBNczBTVD3XAnC+eQ7yQBlarm43NuB2RMhJWbVOIqdUPQYcnkG+t50u8RzxIA33uuP
i0BU2/RlL+1NbaN6kLyCwVWbdDyTYwcFTRZNrVqJirQOB0c9JA4F9lmDLkAPxqge8xyLhZRYKAQJ
xGtXlvFDUnreG82IxZE8cfxuafUo2mo+cV3WeKxRG+6JPxbVnoqdbDWpxYFB4ibjoZiJg4FtNw5X
POOeZBEON2VXpCQ1ZJRiYZ2jW0pFqOPIyZfyQpTecq+lSvTeyYbhMRZZSWty4r871MQyVkyCa0wU
As9Cro8ZdSyn0pmqY1aMVbJmxNlui2KO7qra4MtpZv9Y5D20RY1BtlqVQmd0gKlBWrswo7EUOSLq
bngrOM8yVc190uXM5oYJUl0UVx8zLt4Pq3THqy4i+LXSrtt/2gNwvLnJnKcJtuB28eDLhF0aMsPo
21+EXfRH1OZLwSXXH8J1YRGpx4mq+73E13+pqy0Z59v1V6waCjAvp439aDGYmTrXMhvHV/5hiOfm
lOvChTB3eUUNohCeXb/ZDZgTD2k6FdwDPEtyhQsh4WdzwX4btlF3G6UsL6sODIzNvHnSH1zt4PtT
tBI/pIMZv9wJv+gdWP+04LnziondM6hv4gzwXT3ie+rRYdjZe9Xf101QRWtFo/EKt1bgrQvFVlfj
sWbzmmRxq9TMDSitmmPq47RGrcqdT26YMd0uzqgZErludh35hk5f6oDFswzK7IU9u6CsK2u5nAcR
tZAY4f3rEnLzVST96DlKcRjaQT/WaxzjSb0unPFiQIgXcnuTqp8YnBKy6QaVX3OmF951CmHolXmW
nDezDzFfSbJR5CGb46R0d43/w3mYRegcvQgSW6yEtbZDxsILIZfzUitekIhFl47pYXj1ow7WB2aB
V6F7Saq/qw9qCUucRWH9EMWddwp61yHlLZV8HZweY8igXY5DaBB+fCAGLG+yNM1uy7grXhvqTG44
sMGMjrt67FYd5UinyIzhW8Tlj2GvpEq0bK8MNdwb0Cc8zlTUbaK+9Z4QGooDwntJf6Lb0uFVk15+
zhkd1NuWrM1Vymz+rU6Ehg3Lsr/KyWNfcweNtulABx60emfeOxirjrjPx4MxFlbEgQRgHMNqIxxG
VUtOQSio6+ndEN7McSwQeyjdoHgLiVUPOM3ccE/haHjrmjF1Np0tpt+xr6LtyNW152C0FW3mYnVT
H3XWhnutefzHofCv7SF88pCUoNVOj3Ywta+9V/ZXk9cPySqYiAAu+eSLq9lSDWtTmZSPGY/JazeL
GaLPtOwzbU20ULh29uAs0TQfR8uP8nWDgyLZ1q7j/YjUYH62uPMy/BmZhZBFU2nP9hOrcb+olopR
6Gj9GnNooNb8mfFoYcdDbxrb8i3rpOZFjKZpZeA4BNRhOPZ6ScfiTIyFd2qEVXzTwFI+yyZ7KkUS
nBMgc0+ZyAOc7G7jHkYPzp2dg/llMWzoECX5+TQUubvPwbZv8ibpd+TxqTmn4PBJe4eYl3y3eHx4
BdtIVUKcCH55W1311LJEJBKDOq0O2KDqdWDm5KzCod1Y0r4Nqsy+lRyVV10v9H3cNdmpWEp7V5Bt
ofbIZo/F9+eQlAg6HWymuHGQ7KL81p7n/pR0lS62lkJu3FdFMtyQt+Ns1HOdefGxuhESgarkbhxT
W/K644D4Qs2jpFBg9pIXZtHMoXHCPrQ0pOYbd+SUSEipLomFWlhswORFPJ2oh7cgjNMzRhO89n5i
DAx9My/HsJ+6H1SCymdsrOYkywCjhUd7z4uCJXDPYgcDt+pE+sYbWOwIgNYcoS3Ch7xn6sdgmZOb
FjmXFXVonE20tOHR4Rf/iuRUYRcDjUW0mPPmoSYpSXXnUkfIMPhdxL6tBgeyiKsony1bt2bVNLa1
GZElmRKXTtetF1HxVxqShJQApTXZNghd38G56lkfxGvVY00Nk0sGe7E2LQ6POwY941tDdJckzGTq
G7K5jOhDOdAPaXHEMdgE70IlyzdVAHHdptiNqjtVpwLkAD10/sZPoYcTLIrRIpDC8BOKOiUiO7e2
x0mTR5mxjBO9xsHIRWcKqFpFnuRRXVdjp5jAlJRbbtra4D2Wi/2qlOUlV4MUIakfraEHOEn2DCOg
MvdV08P59Wh4+VK9R+9C21W92cViCIjUBNglN2XCw3E3uBdNrywbpLQQPYtNr4w0e5V54D1DKNel
rwZmDeZd9NEKlxzzSmzb1zMC+SvLkv8gUR5BgsTRdT2Z4XE2hSo4TS2vekkCi+Qz+CqW33xYA4MH
g8qShOng+87/Xz0xv8l+oSc3X8NfR+aMen/9X3ri//7/aa4umbH8R/LI9UdfQ10s/nmy/rfP+nOy
Hv5BuwATmIjyU6huF8r536QRJusiosEBgo6g9M+PmLn/SVi0wz88zNpCINDY38P1v4sjtv2HHzi0
lPA/Hv+gX/RfEEf+OliXgIpg+KCJsHeClb/8/z8WZSjfagOcUlsOS3uuh3cyLr7sEHMfFYRWPNxP
TfHVeYSg/+FV+ndG+uFf8cieBDxLpSH6PbFdfpe/jPSZCLocvMtxKzHD/I69QNDQ4HmY0f3JTg6O
WHjLZAHehFWQWcvDrFpEVmIQC/lM1X6BecbEVphxhshWcEttQtNc5+B8G4w6TB82ScL+xrDEhGdm
tLxJRjwuO9ePwY30IB0WOQVHKxnkLuFuuVDNyxJaYl5czbK/0wmBDrDuv3JuxxtyI7sci8Iapy3I
iq5+MFVVrYZEbKUFyW5IGSR5c58/0LkpuQ/Nk3sLUMQ+UyRc3AbKumTL5hw3Vpg/JVHI94vNrK4Y
alX3xm+2jH5O3O3UTdHyUszRYi/reBaG3bvI+GRtcEiRPZ1+udLynodAQa1To53cZUHUn/y68gkC
m3jlyAwHVOuQWnIGP6csIk9eMsL9D9Kf5i0IknaTENS1yVDfm6bzNnEzpD8GAQQaOLpn7cyCVo68
jNVCW2r4imeH0gkqqnoaMPIh+hxajUBlNG2ISR+JZ/RsxT8dnrFN3Lrpg2o61CXmGaSCS45TPU3b
Rl+hJsC6dgWeUAKbMGLxs7uWL2/nrPLuBGT3dOsUxj93kPHXjGDEKVMzVI52rs9zohM0ek4gKDAd
5jbmczVKG/yYq8Yb59OUh8OOTEC9vngkd5DSl+t6ntrnrg6DEeeYYogeuH7z4nBK2jiDFZJELHTL
FTWcouacOG6Tr1KvwBgNx31gxll31Zq+qGiAjj96e2wytB42qVheqtKBx4CkkwwDVmB7mAlDheaO
j9MdCZHa/u1bgS+2CTemLYOf6JxKTSZGTBbVaSOx6bUPsugwqgnOSVg3OazRSTTFSoFjhREVEAJt
ktZ/8Q3BiO2SGwkheaoJqs8D/V2yVwTaGixWh7hSUIKTxm9vxjEd3rva4UEqOvGDwFX6Ox6C9hev
TPagijq6o6Sk5mZjSnLomTemP3DGcS2iWT3ZOZhTuZIIezqDMeC7LE5qw90oIqoVy8B7h6agjnLJ
L1Nd1AbGf1POMDl1bbOFCeTssGGaR6dZ3IcaeajbaNsZ4J9zFqlWl3PnL0hIkvt9otv7KbajdxU2
6St3mDLcemHfQEpgnIlxBoPmNMBUCcbRnrcgy+ePqhnUM+W+HK8cwlMfXZZ3lJSCJ93Yds/EVBIx
Fnh0Ovu3pTL7MR3a6oVcbHwvZzf4UY9ccuEUlbG1cbQLHiPOGb0wAyva7Vhj/21k522VQallVATU
EYeeLBDQ3BEdlDHYkPO6lzC9qFKgHjKVctmmAp6knU6koTCA2mBjCZUZpKbpKr2UUKDHdNw6ElFe
L1yq7UtmklWkIKdJ10yprTvTGuIKdhEWL7mxIoZDgmjbWtZB80sIYOgb+L3VnisamgOYmMCwEjrB
Yaw55KN+XlgNbR7mZ6sq07MzBP647pHX8d7Xtr7PUNJe+JMSnW9lRTYhbOU29mT/mHBv2XitpwEt
+dX9pXJiu7Rc+lA25u6HqyD4sZgJ86aR/d9ZzPmLEum20GMCG1YKkzwrWnc0XnNPR10htxVW8wJK
TQ+c72Z+Uov08JhgH0ASziPui1PNsjDFSF0MX5fpVg9Sv5SizzkSkxGns2qKyKgIOnHeskFN/joZ
fZ9kFwVG2OCNwCQVOePZwvP1HOK3qdYqnoJwGxNn+6FJQn12yUJar0ov9uMMei5BCQcMKWgzUOqM
x3qTHOyYSOwqcN3ilhOoSM+NgJuyxSvqHptJJumVKt0hOhprREI2pOjbm76paLSHtmZhWOnneI2V
t1fb2qnjnarJlxC2CUhJ0vpNWLBd0Dhj9zIl5cHp8d9juge+0FhVsW6g+l7S0cZHi/Rp2wltn5DR
3EPqgARS8SnhcozyqV23ThjjE+n792CybMbfffCCEbw60vRcXC+YKi32ucuILjXsoEU9mtcqtFn0
kjDTt5A2w3pbFazUS11IrKdo9t0KcGrw2dRSPs6FQ28rshhJJqysMFXGoP8y45Te99JtKQ6Ejbad
RKRvw0rbsCYI3rlgiF5rbmTAZ8ImW+cB204iy6RYyZoiDacmZhPQkQTNCBgPP/kH+JzbUafxagzE
ZaxhS+dnEvvlrRePSm9HXLd4HNxLtZrTYrnbx8xkmDCMYfwhEsMdcpRDYU6NNCUeGjmlr2C9mNpU
YQlBPJznEFCSze82x6n5cbEiPbH8tmfUMywKYjZvDfvzSeJXQrUrnfKtGmdGOraCGrRKhETXn/IA
zdUZ7Y4MPUWlvA0t0b/r0R/ODBem23iOnbMIFHgbo611SCPJs88b6ReO3JhLD+l0ZK3yyiEO06K7
kPxb9XBkPhciO+3a71TgA5rHKX/5ozn3mdcxGGekexiFU5SnbpqCN39M06+liKt0bacdg2Wb4DIv
XJ5S/EXAZHa8wzJ7UG+ahFmIAdXwwe6S3UvbTmeWLbAmlxbVfik3zdAC8kItKYI7EbPlM1BevBkD
dQ0xwHJ7j7HX6G9m/Aa8CbATz8piGuNE8W0zNa8QF8hl9Nyr0txu6OTBirLjYNAtpJ2sYLo2qSfx
wrupXncG/8W6itHAKJCBb4TETFCXrrjt2FqXmhIn/NU5g3tdU2npr+bATnpmKZHad7QsnUbPfutk
3D0Xs+v9DAsnKsFZ8phtI8btyH2YkVKMKMHwRfcWeIhuDKZx62V++CBcmTBqwQiGhEdGX23Secx5
d7ojgrLW4G9wclc4sUSYF7i6AYs01+Pkea966Hii8IrUHIQwpqw9MiX7vhQKqg5iVbFig7e/+oKk
MOt0mfzI+ppIoYW4fSczuEEbYappm2aApFfk+m38IHNljoij1s8468dwlSEVF4QMQ7Gm/Gx4dztI
R3gfM+s9oTtGrl1l8g+6XFgFIqdCxrHBfTzWYQtbJ5lazia4GejoKLRgMwb/pA5o6S4TtCTmulvk
uUlujCvcB1GXdPaUTPC4Oi5l1wNvg30ySCf4hJ9Jahe4P8iFctN3VPO5gy13MKvSVz1T0+pbVGau
+ji1VwXslhUuuB6bx8xIFLosgvxgW7+MnbRvwl8zoKyJ2FgIz3QnrJIhrHZehq8LfCdX8wX31Nwm
zt2Y43fF1JRuKrhU8DnNpsKQtU8in8oBk4fefd5aFspNHe4c1ZfbIIo9ttwpPpvYJyUTkEHahUzr
osWxX3kS3S+dqXxLURSVz30TROdg7PtTns4a+1VeBg+LbbJmK4YofbSMXd2gpPL68aZ4mVGa0LFd
YJRXocrNa+yF6kn1A8CQbPFns8HvoeyVbdrxi7zM+Iu2TgjXeKnSCrEqFjCjud18uaEiG7PgWn/y
WtOwxTIvJnSFTQEsD9C/xOEpJB2t63Rjj0Z/ZXQDbtqlqx71wqKyauu4HTeEbYjTYpQjjxsPw+zs
R8w7TKOK2Rzx1nLHx++DxmzYaUWRMmbwPdIgbGN1V95WnOYrCofySRx8xhbbxJbZY1vgGW3w60FF
I8YPCWkJCc7CpdUO070mykGE+x36Mg4MCX6ojCf2e5MBZwlSGT01KIcugFbDSZCNsuyAqE6lt2ns
rkTrIQyNDs/sT20sz/DSBl7zbA9VtYN3XcBjL1pxDZEznRgWXASkBHH7FcEWQ9UlR/W7CBKi2l0Q
cyqqrYojok3N+LBKtNO8iNEtn7QS4acD/WePEDa3B1Cq9Y+am3HDXKDPqQtpErHjGuvfaVMYe+Va
dRmt4C3Y11EycTyM6sgA8cLm6G4mHXssDh6RQbbhprvvQVVO64GWUXLngBY3kk6pZK28XpxxDHc2
NYj9MO0MBuSnoEZV1Fb5mwHZHOClC3Fj93YQU0FTWXmy92ViH7Gt+bcNsw+cjANO2GNWheLI1IcH
Luadfxhyvz8rUidMoQoPEcjzueZNc8twGL/GQYcJ2CiryT9loBhQuUFmX3NL9u9BLTG1WcRKd82h
cpzldk4LUE9YDAYuX9vG1QQmvJI5FJlPx04cfInyTvEGuMug9MORGFpoWwzYm4DjR99MKgXCO1CR
bBYuFgvAJMCjdAxNWsDG7LOrurPre6af1bkyPUxYm1MjMqLpY76N8cpTQ4na1iIMuUJh5XCBd/nO
jegqIgG2xxFL0Rbny0QV+lzLXryIuro4upiKActQrzWkmfWQOfJhwleyZeRjdn493wWpNWumOKOE
7UXbELlwdF4NjWlihYoEJvYuu7btArm7z8JlK/qyxiXURMdlgiqybuIIMhGL9+9QBVcd5Jkv6GrF
OZlI2gxTHb011hQeA1KpP5xOJp8hG+g64AXCwN7wITgdQQ5keL62fMXCOi/SDQLSZi150ylV7VPV
DwLTcAwCR+O8fbr4CK7LuB5XU2S1+0Cm0zORoOI9HsWCx0IY62sag1q9uwXXIA4A2eTs6jgUlBvm
wL9YSZ15M1xgh4cMhfDTsof+ZIA3MrxKIzawfLYFp4HWFHpXTpwmizyM7gluhBQ8hd24G32NBJ+K
Fp/VSICegIDNSYHWdPZMcEzYxt0WkOMq1K4uNpyR1LH9XnYGfrS3QTISvxCLY7GZZ4uHYsJ/6+/9
imsC+HwX/pnTKGK9bTAS6XdrW74PYHB+t37mxBvPoQ1qE+JdP0T0wUZ78KwqWYPd4hCNo1H+DhPS
ghlKzrXSSt9Sz7CQ5hcpB9PRzoGjVB50Zy/pMuBgXrMfRtd98AbB9CIJBUtiHEIgQD9OQBW3ilxn
VgXGx1gRcznPy3pymKk54jT2LUn3YeL0NITECXaNNQ+/8C+Gw9V/66P/mQ4aW4KD/wfl7/9poLn+
3X+UfxFHvz/l77EjSBHQ7W18JKEMbPTHv4ujrMd4tjAsUj5zSRD9XRx1/ggEt5fIox2DnncfuPqf
zrHwD1zMAnHUdvhaNLrIf0UcdeRfWjLp/2JMSiWogxKL1vfXUuhoZFZeFDYhmnhAqGw4k42NxETO
jHs81Tn6FXAS51qCYNwDExsOeEwLyGhV1N4QMx1ePc1JclWHaf5DtmwMPOh1cyhjW5LgCwvo5x2C
1i4hO3wn0kGGh0lKnZ16v2t+eYs/Xqsafe84Com8MDbZOGFTgNCI3SiVxXZgJYSfl7U5vAZucIQA
y+STQm+/IqUdSncTunkPqqi8DCjNNM/1tUZde8ZrkIMR57Jw8hcRXy8K/u0RR4B87RbtMCZxwieV
WvquWQZS5dNF4gNrnhwn+mwuaexUASDCE3p0qGW/hSBeU65swTlcEWr3pqPDCVJs4Vv01lGa1HkU
NZeoXVFEWQn5kHnZqkgolUfxFQH84iKd47s0IGKy9dOFkXVDpSF4zk6X+o6pVKBOYIQHxVHU60v6
7gp86txIZhxUHCNAxOZV+9VpJv5MuTO1FZnpT43JhQ+iXGGolu7lhu3p3HD0cjATx4WTpTtOW+Ww
rrPhkqyOLG6cUrfFr8JqlvZg7LFsNkYVfAMvwWAuOHPeFVaMY6oOvCeuEtPexLG55SofnR19SQBk
Ud7PW6VE8+y4Lu48PFtzfCWTvjhCnoNH4U39TN6rCO5R6eQvljU3245y9KsVV1JemhBEIdfxXJZb
RqzOazdm4ysHA2/aaTzyIdYsEitM5ILuGoNQ/UgkHORRHnYMnltO6PrgzUNqiK8kXNy+F07/exEd
L+spPvZm71/WWPW93E6XlZedhUUYEiracQHg6ja/rNLRZb1ORlv+9r4XcXoIOSGh0bC4q3iJDhAd
c7Ppvpf/8bITeJc9ofveHiopXIj6SwQxR35vIfp7OzHfW4v53mbG7y1nvOw+3fdGxEVOHVW4zAXa
1GWr6r63LaCh45f83szYkWo64743OXzpmgzEZe+Lv7dB4dbxfXXZG53vbRLJjfeg/t4+mXGwlRJD
709dKYvP8XurRcTCbBX7Y79BQUQTWZGwD4sV7+jqMYoyoMvcPop8RVbc4arD8TB/aRnO0rwwb8kI
6oBYhozaa+EgG4wBvjAT6HwvlMhfakeDoa3Nsg1ocz0lkSq5MrPxd7MTd+us0AG+UABm9j1t181L
r90NqEh3b/uTJifuDm2O36KqH5M03w6lMtNVHqNZHKr+wkEqcv9GjEA22OZqofkGYPpXAjJF+9Ml
gHNyJhsEBhOGajxaTlyYF98LsXB3xkwQjl0zy2I3jeBluPZNOfpjlRfZz9jq0gc91vJnUZKc33Aw
B/mqTVkvd1lR2mZt85YZd5HfSrHh1Dpz7YuiwQ0PMlrGBW4Ip8oby7Lyl8HQjU2aYPA5oczcFfKV
nzojhvbBsMyvYpWixicFDtPQ6rqPZm6va3WBoYoCpjE4DkRxl4vz6GEz8/ltV//LbyMjxnbstkU1
t2flTMOV3ZLd+u/N/T+1udMN+R8OP28+PlPz8T/O/cfnb5X+k0H8b5/6pznc+SPEeM3uzj7KUv7P
E1Dsv5cx52Uwemm2+XMA6sg/vo8DYeRhUGev5wf5c4937D8EPW3szJJhTehG/9IAlCAxXwrV2mCu
Pnz+2/9kgkh9AEYJhzFocOls/Ys9PLOtaF5owN3N5Zh6G9Gj/JIsSu94bsULgQ/7NeySEHoRJoVT
huhnH8MakESos/yx9pzsrkcAR4rSxgMjXkRPSz1E7VXcJI48cRsY05eEXLxZWVYTvuDOZnzROs5m
tlzBtKd86LjqPwd+42MFGKe7thYvSDAz+NRaP2V+Wz0lS11/jn7g3vWiyvcO6yJTmCU99Ek1nqti
plGXQ9R8MSAPFU0oqbWgeRu4db5RLG4DmmwobJxkaFHmPgK9T+wsk2XDRt091LOslocpUrhwLnC6
x1aE3AOgyU+Pld2QA1s8zTAmQh1jc/Johz0A25i6lTvF7adlhSMmja5m7OdWLBSnca6j6DjFDo1g
hltNf29M0X56eDWzqySai+nFspPoE6Dm/HOxdQOHoId2th0CNowk1/SCZ1GEim/hB63u/DCoLxBT
f/oaLlQ5br5V905q0H5qJDZJt4/De8fjHqDzHKOX61rHlnJJcUVIWv6k2dGbDq6ER7DCHtxBpUql
WFbp3HoM1WC92XmClZMdBGWQdeUJXmz2Rhwt+Rwp+fg1CxXcVtSeBORywSHFWGS8NQZsTZEN9ZkY
WnS4ugQkr3hVII4PPrmvkox0xDy6XfbALfQ6sYfk5JIdKN4XHo4HTCwWy7aoBZZtNpzGKp31sDDh
WrWx4Z5HD2G2bkeSS2UiCXK67E2+Bx/5KodmdLTaPDl5dfEL4KxFnTlt1htcvcxJsyR/DBXmMMU4
dyVKfm9kdLnOrcXGx+XNzQd8sZij4+h+JWUVvno9MvraFqpw39MWPZyRHC1x4/zTtRvB/Gqy9vkM
TgMPLiznfBnSzQAI+VoO1UPr5jjw6j49+b6hVSTwo7e+L7ObBI0OmIpZ0qtuCEJud2SY19D8yh8c
gcYRe6MPakJmyZysA49iUeb0MJrXZV7OiFUUXbRHVbvWVRAujNFMmagTYeFsQ6TgIcy12GaN7XVX
Xj7Ao3SjJzy201vvAe0SLSrGOtKhn66niUzHjh6g0N0LaHkfxNzH9BXDcZqtszmFa4UiDU9y5uik
DyLAirPS4wKCsqlEVh9sJ4QM2UZT+kPpbIacZicDVnomG/Opo9Q42qSF7jQoG8dNd14hwdpwfrbv
FBy7gIFaL9+wUfckTEOcO/FVXI3eqwcGxLr1PZX2O2LR6bibL76JjTcpx6wLiRy802aG35HDncTm
KmqM+iswu/VM7Q+MsJt4QsRa210uCPpHfNRDGmrsqCbAgv868HSFmJLKYt7FiQVdN9OoA+vaXDpg
2kVzw06z4UnkpX/ApZJ0j4VqDGwpEDr5bz2Z9jSVDUhSl32eYCetWy9wlmCo4HIvoPIPUc8FKe5b
MCSYSDeJH5CJtMWCDqJA3ZFNHu142lRL+dVHwEYq6epkG+dtoQ48mcijbcYozo567x41t76tKVn6
lNZcO3tqyaLsOHp+/xPGTk+gM2UEiSbDsR/nQ8YiMTvPtfTsZ3IoSGOisL1dWXiocYI2nnUatgFH
BoT49QJiwtnEfpUzfU3J3a9YILEyjvnYNWt+xWpDDCO2+E+XiWpJsXEPvqXXb9NUh7QO+fVrE+SG
c7mvDaMsByN372KOQGmYt6xD9P7OQHX30h70zRR10Rk7H/fFMCfeAAt4vgfBZ9YeGYEHiP145DQe
DXwXddIcYiYuWMpLCJV2Z7LrYcB15lt992TXjvtaMSbd2T3CMl48iRCqEUortshqO1tC4PifSuwU
zpxvEzqjFtSSZbwSZoxObTNY65qJAfOHhkb71Ktbyl2a8YP52fyOO8R7UTRoHOQ45TvRT/EDu2UW
XnV2oJ4aO59/dohSnzg89JPuK72b/PoxYlmakSKDiHzB1DzmDENw62MwOXYdyu8Vl/hkb1edu6mY
4l4RX8cf63sD7GDArNy8wnJa+tX/Ye88dmxHsiz7Lz1ngFoMenK1cq19Qrh6lEaa0ai/vha9qxJR
WQJd8wISCWRGPH/ufu+l2dln77VBp75RxszL2rFDPRf+FP6J8FHAOK/dNZ1D5iFvWzqwAoGDo2Zc
H1gOd5Qo92VI0qCsDwK29rZp8Nd4cDZwAEHsz3cT3VY8XBO0Kfysly7OHQidVWLJC0F+PHe6mesn
VQ5lgKdCLJaVXlKYSM75DG4EF18dkCgD/EX3CX0O7l3fTc5VroropmoKjMuYqr44mpvLDBn7DQcu
yugwjvJEyCg5C7zefC8TDyrPGZt7kdn879btoxu+l/ZdDJH5XFgapZjer/neDrhfZ94kCZr6wY4q
sR8/tEu83jOhj1hk7TWvXvVmzqSiRq819nnTevsaBNMGjO83NpH5NmUNc83NBXhyVAk2g4gUKjIy
oIu1ixRhdUDY8YrzeQvgqVmkJe5MEtcpg2c03VmdMcuHSpfGyXbr5t22Kt5gidstEIBaiXAzoBoP
bF91++mr3sW/Ifu7sSTBdvTSqnithyRJbia3ZUNg5m71CfC+/YpJSiFUjDVqgCbwzc4HBTjfwZ0M
ALNMLNoo4whOMsRiRda15r+n1IOwwVfjYWYaQdAjWGcVLATFPyzi1rtzc7tee4PmycyLaz1j7Kna
bcvmvKYcAw1EcjFDxIX2sJ/mof3j0RtOLL3nf5tO2v3xhpZep8GTl4G6vhPQU3lX1HU/42+YICd4
ZZ8/lZWq9qkS+pylNIqYfuyfoibgCzGvEea2Sup7I19z2CCR9yCPi57vsE/5hwvPMjo0udBsRCdn
/lARUNjtb99JNhnxV6vHAMuJ7ivwaaFL0sUeF5naMryGip6ccd7mj1drSLDQAJBBqhtF0P6ei2m6
IUZjkxbIwgSzUFdibuBrUnIV5fV7RJaDz5tTDTum7cxC7iAF1hJsWRot/ARgLe5G/Fbe2Y3j+MPp
Or2FH7mUA9Dvek5q0g8rabGyCPiWtgnPTAqGQrN+acNEfc1mDdXeqQPvGuxejxcVcQyUyDQuBobq
sY46vremodusDmHYrAeZ6WOlZuq9SdLVtzz1p03TBPSAcNmpJbaXOHkiH788dyh5dLUNAscXEay9
JubStJnqHMamM07qPcxyjhogOfNNQysEtWDd2H20be1tgzTX9VrQk3fjZHbjkvgQVkF9gYuP3yqD
8aptLAZJje7+lMxt9AhprghpkItwF06peSAtSRJvDEb31Yy8Pn0oQNncKhfr0JYHTIgFzuD4WJwx
GD84mYnGTd4pLWss0JlowwN2dqMFVJYyEyf8zg5mFtEj1LYuXEarCe6g2kJ7DavBfvA5dTbST7rn
dG6zB2eyw9thSri3pbgF7kp8fP3OjGZPcyUxTMgTbJfIv/WJ/9D7NGNCuifSBEZruvEcVXwh+Tj3
iu42TiKnTvB24bLb4ks3vnniUcRYaijQU5j/sLKBGyxS7wk5p7Z2BDr8e7Mb/HeSV/gwotSBU6Js
AjbDhBkmpYDkrQj6+VaYjfFZhyJ/MKcU1rGtW7FYlIM/RIQzeZkhzsVkJT3x7aBEPQPNmw7lXPZn
qDNFtnGD1IS1At+m2vmo89Mmq3gKHZQS/oH0hPHkJ1PZb0st9d5svfYsUiJ7wZSZOLw86WytqaOy
q7JB/pmFGED/E8Z8mUO0WqDNcuLfDVSAIpqNO2CS8tLWMHs3RpI126FKiJcm2jxaonsdzZbdXFJn
8A+mjm/EVu9xDauco0mexhRFI2skTx43ce8yxJ6tN9lJssomIrImDy+2jumzXVjhym1YLfIuRJHS
0Z+ankLtO81xJM+0VWFb7lyQQvtwSGtYDVP8E2PpusG0yvNviox81YxMh0br7mvRpoAnU9fdgGf3
r5Oorm9J0qVHlUu9syajOlh6KM4qCbqvoWjlXWBMcYgyx9WI/WT9yNIk2fmstQ4kOZJ3rjOanW96
n1U8mnXHNzrNADwGFCQyJHV8ll6f7SXdQStqFvUF2wQntQG9cciGL6aH9mjVYUHWKBAFNJqh/S4U
itM2H0r4FTngoVyxddxUym9PA28QurSmBp623XJZLKgp10X/MYfqe5Y0dqxKN16OU6YxmVbxkUxm
g93KninlSJJdn6ZMtRmOhiuM8NU2DX7h6MQNmwT1jAAfgAVhgslTRDLOviraCwgtNFtqGCGieo15
44EzWZdG7l+cOn7kbX/ngwHqx45Y4+Bi6CkQsSEXYOrA96StIVrxcmJ0KBKyW+Dd06sUYkyxzqeu
fMY9hOUo8aM10ycieFSpJzAa40cmi/HWn22iMybUn6tp9oODb5NQqWNy8Xtz1C6PN1Zdb75t3hRS
NzcFcug+1u2hs5yGG2BXVcxpTvfOrTNeV4Xnveqp7j/lrK9EWqqzLnOxZIYw+Wd0aH/izzE/E64b
tFuN9W7qphBQlzGfe+w0i3bbPYiUv9sJwduSy+h2ilwQYNvG8I5iFvZ17QfDIxjmfoPA3WLXKI32
jXWmd2otu99WomN1NjkUrtHAtCujYDx7UTw8xAkwZzNszd3ghpxuRPh3jmH5L2GloH5UFFL0m77p
ZwpCIcKUvBvVVvSqJJjYWWKrDAW2pi66Cu+sHbQc4bRJAZZ2A6Zhw5HveAgssUmNrv8TlPhXH4Nk
hJZp2VXFZNJSF9Vymnw3tjE46wIQyiGfs+p9TBrkic6xMaYCTpbJrcil+Rxnfc31uxC3LDDtdzs1
/BsaXqxvwiU1Lhe3BKEueR2OHdPNjmwdgwQZmey5UOPg4WmUNm4KqavqQC9euJUw5+Q2LNX82qfS
OwYoQMex0zbzAjTSWyxCtn9YBJKPxDMoYihm5E+3H6l7cuiIFuu2gtttabDd7dCTBxw7+ZCWQfth
wwdeGdoSB9vL3pu8Ts8OKWoqo7qk2JgDOgtzXYkDNa69RxVMLYuI2bGvElI4mkVrA33F1vYc7FtW
UsbOGY2cupLFWPNMJtU295JT08GgUy5XxuRCqHeXUbPAL6KNOozpGj/3Kqez5Y80x+46JGD1Yo4C
BG4KYQszSxvkrxnwyRMKToVimyscODYG/ZMR5I54HJbEOHp2718E0WB9rtORSN6cTmJLDo0uDlSJ
fesEb5FQItoqxre9gzgHZHfO6HNwLG++Yuhs3knxzvVuGFhbFwktm4xmxqMM6X4x/FmvuUIS6+6I
PvKRy5prHvm+e1adyG8ofXe/yrwLX1BmcBxxHnGTlt6+Kkp57UVSfblNQogtY8NxGdUCVonS8hvy
vEGnCRXfkCHSBpO3NePEWRWE4WDPNwgGbNDtBiKRHDxrg3V5uAIgo5exsEvQI0qsdqsQNyxGGV11
w0rKhNWfozFdnMEWs+TJCEVzHc5T7J+xSRXwQTOJ5Ts22WG57wMwvU3htZDwG9m90nu4XJXJuXLm
EA99LJADPfIBZXdTMb7w/wrwMutU8MZccU4X/kmxsf8ghARjB8QUUQnsMdxwOKKmALvMin3ReBoi
uaj7lnyBKBu+AnFniYclx7itQ0gr+GCwRQEi0tOOUnWusBm9CEdu4tT9zJJNJ0W4mvGuUqZay7yV
uMfSMHl31ST3ld/5JDepv2ToEqGxa/GVbrws9L589A9jkwOuOvtuWVByzJ3nNdcGwG7Lp64pV75z
KzyK3EqBG4B3sFPeV4C6D0Ps4Gcj2KpgKkcJyVec39XFyhe3i1aCD4mALgs6mZSW2se2MHqcB20s
5DGPmrjbdsLK90Uf0NwH82J8Y+NKGg+Pk37uJixkAANGvEpDsNhB7aKdMcRCjoClh/3voytT65Gs
MZ4mtw197glF4pwJ1mPvYY2bf9hsMNEtstGwdpCISciKngTNKQq6GfBTt0CsRU4UsEjGwLNWrjli
J8TovBeV7Z8QRIJsV4WQHFFry28iCPYVFiYWpWWxOC7w+lOpmnVJ+wxUIn9Rgwk/rZtiXPXDHGIk
LIwAZyHWfgtrHm+VUzvFc7Vqm1CxK+2T6FFkDdP8aPP4mXwr/4yngcVqB0PAvvCcoJUF/5TkDVoQ
fz6Go2qqfRJGvQNVq+/mDS3JwVfDvuyp9G3YQ0VGmQwgBSQ9ctkB2J7UR3tkFjAK0EkN3kWMQE7y
MQa0WIx2g1bKkjS8zikXhF3M85MHdp4ocLY8/+dNUWGB2XhVizcE1jaCjZ92ygRc28tragpHOsSw
xr35cR5v5kB1b3ySGvvSmGa3T6Addxdp2jjeByNwoo3h6OQ7xt2e7ka7y7nsxRWmcI4lnitjNZbi
KXd69zRH9WyvzI4Q3XrgmHRBLYPbcn3yAYa9kNR7UvoXQp0sdZkijWRpEqPGF057uRRcZvMdfqBC
7ok+UEmWFJHeKJPP/LYn63o1jEY8rJs2n7fKzNk0D6yueKCaCxaNp6rTr7DPg18ezO4yDR6Ef0Nx
yqzLicrWddaYiEk68HkOzGkUXuu55XZfcrIxgi2EvjjPMSmEDuACuG8JLgNzSBCLpppvODFGHV9R
LOzFu1JY9LIZ4X0TBhbKY47n3zXqdoSmnoNv8dJSlvSsyYYOGR6bwEpbZdwljBrhs53N0zbxoQjD
nQF0GA4WVcqM9W72x2XT+V5yIfO2eQZTHhUXfg4XV8qthyC7L0jJHAgZp/0O/EPwLPE5neepT55z
kXKTxu+a35aqfJWGE2/rLAiKY84hso07G2Ogavt4041x9cFCx/iuMzk95mXUGXA6sIKvSM2007nk
KKS0MCwFLUxwpw6YCNCyiz764jLXfJp5KJ5mSgzJaxNmwjhnpCfDYtm0bolSUqQcd87K8Rf2WFq6
P5ahhh2qhbMbERTOSDruOne87labk72YN2vHWs3BMB8c3rj3rRrkfUzGFn9CYWWb1E7sh0Zpntkt
7qNHAK7WeE5VJ3cz+kqym4egp1OD4idkGan9eRe7JF4OIW9fIkk1WG+q29Mhv0ZsKCYaRqx+vkgC
ff5Bj57DeialCgJXhm0d2yl9AMpD9Hy0pg9gI1vHgNkjTUq5aSwqhy8WMhjHI2W/cicbKVsHfeM/
FIwm5JwK3GxZ4yePjW2Fj9xFyU2YUUpG22QVZXBtU+rFD8z6D8AJ7qJOgw6wDrUpfmwN9WeN46Tc
QN1D7Me1QBgYfBekVR703CgbX/yv+ern/2c/i9Upwvr0X7O7br4znf4789W//pF/QLtcAmuc4L65
rFHdfzCfQ+svstImEVTT/eV5Ycv6t8WsTfzU89i+BiZdcdbfsF1W8NcS6fT5MxZQL8eL/ifmq8An
GPvv97KhF1qhg0GErDM+sH9KiGa9r0K3buedLGvMCrXwYC+xFDWv0qBJ4UlqaEPSircRbdBia5ci
vlh+Ve7iclRn3PA0ooymIMXn0EWE9Za+H5tsVEdX1hA0e6qem6vRytIANEEL0xPZkBoPbsInjlv1
Sil0uensujxmTknUHQDKoRM9QRjgkcgUSXWTuQGVZCpp+2jjOS5XB8EZmBLwcrn12W7TVEc7LN1z
NmagGzuyczzGHONqoPsQSwONQwl9b6PxA2KhoThzsKLPLGrYe5kDw5yXZ6e6A5lCfnKuL6Hn+C/4
oe1xi1KCYrBkRWm1zJqePKPTAfjJq/w5b8u3YTazq6zJHuNmnkFEix5Qr998kFdLz66NsQOs8hLa
cMsrM8vt/dhDCTKDJQdI6eixh9PAvGIeW/Y3O3bp8zbiV7e1kjzlSIJdxZJuuG8qJntal6/CeizP
cHYygH3Ft01skaxOnd0zS+bHypLlFrjm9D7OtX9JMZzNdDhg1F5nIBhKXEuOcyrqjASYNh2UZt2R
HiG074Vno01ANPNLA9dclpaFmjsOnOAiDaDEJrN56096hANVltGROdXWzNmJuilQCREy8Rp/QEsb
1JGmqu7sJ9AcITMP8Q3aFbOfUMD9V6IB+XEepFUyTU4S+wxUmA6siUyiW92TDF37beCGu2pyqxPR
W7DAEi8QLptQZbijRJbtfJerMF1sOVqNtinoMfJ3o+9sMCmQsCpGzeVH6ln3EwB+kq32tl4Ln6jQ
or9praDkpcT3MxEkDskFUA3VP4QWUtZKZI79grHXf66l1QxrOTTWXeRF/o1vu73YeE1cH3AHlAcR
ucOCwkIIa007+cSVld/pLF3q0NNEcSRPExMfP1K/60qrRsgqF7XB97P7FI/TAZuOefC5mu6WekAu
+EVfH5QM6isWLe0u6R/sJusY2Kk2R/OqBwVdlf6va1q01NFiZ/HGraq79Wh4QS/DdBg21Q3hGZgn
k4ULeZyxvNEFkSuDX5nR1OuGFRGpT3Yne7BmLZ/qaUT6ahoom9y0iFzKxm7mbYerjsiNHNmO4tL7
CfL4jbGAxIdyqqtBRSNUdbb/IJACdegwtuH+o9m3mnWoVxy58U0O1aFhyxNXZ3I3lKDbgwWTrjGz
4K7KSv1sAQttUXfK4EpHVvNKzoraCKuRXIkC7tZnT1LhgEWfWz5SduLTRto74fTumrxID1gDho0G
tvcN5qFGYrcU/I1LyHs/Yo7kOLRejCQdx2OaL3d/it9Dxe3DLcwvx49jylgAFdEpCKiIl6IuInbQ
ATxa2PJQ40yrn57w8lkbr2tBqNojjJu0zgBPmUUB/RR7FTNax2OaokSHIhWSoOVLlo3Dvou4z9KD
5D93KhoultPqa2Mwq6ey8Ty2LLaPQhGWo/kdBHmwh/BXXjV2jTGM5PCub3NSDnjYnJvaGqfPSsfW
W0nP2DpoWu8w8iniCUunE/dB+ThkNlJEac4EG9YlxLnvpG/ru9n145/c0NOhYBb6boYRjck2+cJW
nFnJtnSIpe3HxPH0Y2bg5cPeqMMEU0wdjveThrG2DSAl+btA8a8eE1Y+m5YbykBndlX6h9gei3gj
ukGUV5UIpH0UTExi69nZ0K2sIpkfWVIubpHURe5yXd9NNzp0uSzbXpX03GKi4mpk+cTxkjg7SaqX
tHkHS8WWcb2fGA+4C9W8lGVyU2pRXpoQM6ThjuO4ghfCbYiDZyUGLU+dnyOjdBFYnGkcxVVSNMMT
e+gEHTryKSh0bfneNfw464asNk7XYQRtH3TKOScYauadCgQmfhgrQX4oEkAs6zgT05dJ/nRiGJ2i
z1QZ7EbkLwdS/jIhp18+JAMtrEjzlxtJNo7MC5TV8l4HAcF9qp2gTMa/xEn/lz6pfkmUwQKlHEQ6
1Md8Zg86SEjvV+XCrsQ1xadAG+JcL2TLIY7CiKEc6TFn68SMAQMzGKFh6rIxP1Q737sEcheDbdw9
mJRRVgwfGm8AMdil0Kjqyavbc+F/UMlMgLOQo//SdB4wTtfH03Jg6u7TbffLMtG/XBMS0e3anAYa
kiBnPHls2B9a5v9iUy9cFN8xo7PiM7waDdu9t7RyXwDSizMPbPcE54K8VN4kNHhOV3NUutRX+imT
klewu51P9i+XRVvl/C1+aS2ds5Bb7Bk4JqOV0EzxvJTJivUESQLdDEa1d0vX+cPFCRaM/OXCOMCJ
nrzU6ZevDjimsISf7EEqO0/5mPO8C1CH2Y7XEeRvtlbtDQlZpEpjAdNAoRIHi+VgjSBpKueAcLh0
aP0Sbfxfuo3AXe5tNP1fS173l4ADdLjdhr0u0W0L86b5peUIp0NobBaQTu1BgNxg/+je1ALa6Rbk
DoFB6DsAMvSDXpA8WPGh83i/pJ5ugfaYv/ye9JflY5OHvOGnVqc4BWx98KWJL6FIO/2jS/g7G2Ls
CQ5OvHzBoQbVGaI4OQHdeobKGJ/MlAc2RB0Dta4Vw1UwmnJesxZl7Z14lvy2Qtsr1kHV1yedKkeu
3UF90TVcHqSag6+OtCoOijEOqU+2DW8J3ol5K2sy1rRimMkbaEMIGGbev9Ani9BBqWh+1Vv1Uzgo
WuJL1sPUVeBJOhM4yre56POOtVD1bbo28RiS3K9zVdfHRhW85j02bPpTJTbYFGWOrTfSpehyNIzS
Z8W2g/OtbvMM49oKRIphESPMU4RfhQqRdQVMpQRPo4Wp315KKQRLUEIEebI1QnYPhhsmT1BL0p+u
BMnNumZpy6u7Gsp/NldQT8ZEqM3cNlLxVEZTJrnLMBdYjh9tYjsX677r4uceTQZDbdrsG2reVhJx
nVpDTMbzlO65kB4KEngQqXL2a+7kk0Q2Z+DxxUjbhBMuaFdqQLe42ngEZqLQL6Cqi62btOOacx+u
bMG78pSETnxok1Jeaio2HtkNAG5HS9s4ljuCJffLcq0bU30muMdw2KSp8zUKGrxjOg2Ken5LY/+n
z+IGIcVM8IvbPSHcCWWNPQv532VlzCYsFihRRZbOe2hX9rQ12sZ8tVxOo5dUEZdfzaPj3TokxI4z
/nv8Rg089kPSSmK7gHVtouFRVXzKxBsZOHlAbMDUosj5YWqwQq4jeWg4LtYtZ8BxzKBu11E2PMct
Ri5voCZrr3NumbQ2nQErpAZMPLTZg6FFiLunqvB10BMwPLL9Ym/lKb5puG7iM4A78WoDevM2ZPGN
n8aFCspdA6IBgdnmjieQCbDSdCSug6LWt6YcootrWjiFbJSp2wJ/0YNp+V6xj+nIIkg2VerdJwMP
CETmlbXhgja9hcjJXxRw8ekIWpYsZz54XAyzKq0/Ir/Tj55FkTuRUftWjJZ+Cp0QycqRHT4mB/gC
5ywL6jVluNGebeN44N0z0DSfmt23C6o9OyyNTGcCboJUGlCRpRB9CFHAJ4dNeK5bA+uZnR7KUrgJ
+4kgebUD6vQm3irgUrpy2WTUDjAUrmzWRxTq7mT5Q0KrDhHwFQFSrmB9ixANAp0EcmkC+MR6juIz
R5O+IF+ydoT9hcIw27EZ7dPKFT88JMh4DkNwVYZm7mymUVVbfmfsZmnbo1cQEwQG8ayK440V189U
ZPVnPqzUs7BoWPfSsU4W6BAkMSqtU68btjxV4ZUEhk3jyZIxxsSz+IKSeUqeaLiLvhNoQLzoxGs+
x87LL430qGAOMop0YHI21ieJDrkZzRQHhVHY2DqYGwcsVdvaHs9NTIBezUW+xYZfUt46V7eAzXJ7
DfiF+kEN1WtFmPs4AIZcezwkP6LShGkcdt47qZr5cyyVwJkXLmluzCKf0q6pIhjL5AHluni1Y2E+
YP5i/gs4Q657EDjDHp+OZiMR2G2x5oMFS552j4pgZdOcbT4W21EMLT5A40CZzUTj6gNmFDgqEEtw
AwcWNkdXUs/Z4cU+T0lVUmU6tiW2MCc9jDOXi03jl3O6Zs+QfkOF4LKImXKrKA7cY4Kbk50nqvSc
sEK69a04PZa8AI+YJ8oHnhfqkjj8GNyMrIKrS0q3zwAIbUL4e7QHAkK8oDHj11uQ87QdIzd5UPX8
/4q//ssiqf/g9IbBRfKUzJhpRoHv/xPtClVUCUe2856elfxODnN77aYAXoGkBCdy8sHeqsZ08zfN
5T9DXf2zjBEFpuM4QRjhaLctB8nm74gtmwjmHAfFuB+gS18YC9pbrML1xjHz9FHOTUfb0+Qf9TCo
n//+b/6P3HOuE1z1WZu5C2d9Sbf9De4lPW8ISqFnsq+URK7CwAVMVfvGuZmcYl6VUbxg39GX/pcT
9zjJn//7fz6+RVZtMt022Vf797yDzTvqv5Xibrsq//j8T/7Iv+Yg/b94YzKQ2Q5YNB+16x85SOev
EFknIh2JluQDjPuHFOcgxVnQ4aIg9CzPX9IT/xaRiP7yXF53/iBvdt837f+JEofi909vYTPwfFKY
8HZcj/+40P3//kZaDHg+nphq33W9PjQgb8GTwoVdLge3uNn1eVDmtClRmXEAhemKJ0FybMYwP5NO
pKSHAfM5rCbvO2oAcdKZaOwCtEfEknw8G0WVQv+Fb8kgGp9cgSaWjPOH37ms6zPgmKCP/VGcaXkB
/xORmQxqttBNlKEp8Azlevhs1+43kjnUMk+cCi3Vnjpfa+EQYXtWsgvWLBgzxsTAeiq9zAiJTaXl
iSmygoM5zTc8AsRXV9TgXkKfvEDGWcffN9wQMjJ2tmsQ8JB4R55tEyBRY4DlcYmvbZooLt4BAROR
m/lbY4wZLMK4YHz3ptMfmX2TF1fo4WhUNV3ZvgUFqBJ3MitqrHdpe8qtSXAWhONNZ4QhdfMearnW
TNlLHVF3m7JLORiFX53rZOjgzmmPKF1lp9AFcvsJrAUL23F8yHInudYpPAE77uu9IYJbtIv+iW62
5EeVWfOa+YN7ByKVwLwZRpRfKWc9NrXcCj/OHvpc2JS+TM/UManb1IOeRUjdO3b8rs+tiDOqUcLq
eUBTRW0AuznqBOUroY+eyOEHAbHsmuoxZiqVWRZQElYaD6DkxXUgQZC5OJPmrOhg1vnq1cf6xNQ8
yS9/jv9M+RTOmyAaX1JbHorUO3WdXWwzaVl3PY3L2wxey20eDNGr64/yApTDPTsgXo9dN5ffiCe0
r8MKB26ap971RFrgupolNw60au+L0JjC85CIox45eAApDSdhujGNTpU6QEPAjWGFmK4rw75SU/AT
N2fLfnVy/uYlbPzA3FufSk/rzRxXgbey805uiZ8nCSsbWdGIZQk6TP26gBo9631kzNOTDUyW5Tya
cOLW6oW43nRdQsPeJGZvXiYbSHrCVLUmP0CNscULxEXEjq4EfBIKm2upD2YasyuuwBWUhv+nw2tz
3ZLi3ypChjvWceM65cZxbJHVr314sQRY1CbCNrDLsiDc6akJHiOu8SjoovzwU4NKMg0sZe1BKmI2
ZyrKG2YEBQt7N1cUJ4xTV6+NyVRwMGpz684Zw0w2qSvh1xOkgy7Yl8QMcA8FN9XY7IUDdJ1ghryK
w9jdeHm49lp/AUHI/QyoQQrFBAImi1F0Pdj1p5dOe+712ZmLeojlxizuGP0z5mc2/wWzjmsVdKWy
0t/bdBmdQ9sM3woAsz1DVdXfWZka7v1Kvrm++KwAm3izvhDE/cqhs9zONFAdpNG4OzTFmIfP8hVF
EzrrwRqIDM/3g3bvQziJcNeadqNoPH9IIiLLoBAo+cgEO+EMw6JXX0MDGbdMVtXa6nwoKr7sXtJ6
QPIl7rxvCt+8CRZJop4q64zi3J5q7bjbrpXBT0v3xQ6kj3PFJMyHiQLxbcxl88EJbH6ro0t2YopG
2scXgJNXzzvex9U2tMD0ol7K8SURcXikejqlX0HrnW0G9WkMjGzZYep9T0/8sag9FoyW1lwe5mTe
U3w434bJ7O0YE4CoOQlumngaQbbwak8FIRiP5AD8uKWIK1Ll1ogDqgunzt3bHU0sK9d3PmVuodlO
RT1dmMGstcDehr2yjl+4189r1oP4KKOhP5lqrE6YT8JDKqLqk111ex5Sm57MqDDv+ZATGme3Eq/I
jvp0NcLbe4KcHZBvmkro8tXYIRkSs73WpFJC0Emhs8t7ZvoRJ8P3GIknZ1BqK6dsbxA2xf2gD4hR
wYYDw3vtK+MOaNj1lPGTx/k6JTeyKB5QtebQz1/Jxc0oXWGOc69td3WdA45oyojQm+15zI8p3Oqo
4/PfMhfBCsz2beWZt5rGycJE00qTaG0AJ4FrFFy6HKIerDySGo57zmegE2zOHqq5xxFXc3avPKrr
HvCVZYv8+F0wbhyGmvoYKseu0iqjZ8SHwZEbI7W2AIMyTdNmWw/z3oFRt6dScHzw6LFaj9hbcKjM
/Q/a1l3aB0+5T2nBqucLYFKU06vMeWyskljk3qH3IY4h4QA7ph1UlwDCW1Mvy5V4es/KyLs3fRy3
fPV1GfYAkJO3tuCpX2aPXFmv4epsqW0c0BgTsWXGM1cebMR1Our00lCMdhpJ2R8D6gRZBDjuiyci
5007+bDJVAhP3csOVI/Jh6Q0KMJTXQyEtO/pmRNpJV8BeyRn5U/tTSAmea6Bwv+woGCFTHqHY3Bi
o1OIaqc9lI1g1tG99rGp44jY+mb32tnA1nJx7gbK0yyRXNUN0PSETwrAsKrFAaKymqKPnIcqEe8T
ueEFMaIvbH7WYoSMaKfUXLm5QwYw3zeWxYiqcgdGYYGX3JrbIw5pTNyhhEUaJixn8h8seZG38ys0
NoQju3lwkkFdZPhDWAJ2E30p9LBgGh1izz57WGqqfT9krb8BDtF+zBxDP/lMEYnEjIANMKWBdAKl
yPGGc+IRbw3bfxpzDZoaC2GvhzJTd1NPidckWUcakyZz0C5GswxzzjOPnnyjZDzutao0MJ9p2Js2
ogAUfXpVMO2tgcP4DwbwhKMIp1kAGYAuuXFS/SiRMWheCG9Cw+vkCgfW85ThdJI1V5TElD+lHMdH
KYJyzTxP3Z9bcno7jojuWLw+j0F/W1dQV6oqvWaO3PkdzoDW6V5h0jw1s8D1XBXOneVF9a6KqmnH
sRddVTDrsi2ibvCae6TGaq4ViVd85am7x4t+mDXJpiw4DC2s94GxOdnMrqA0cilo2yYA2Us0ujqn
o8Ey1aHGZDEZ5n1hpl8caM8sxb615+4XX+Y1PlNaOyw3WtOLynuXbBrnLrewON16lR9scnrkr6D9
LyXbwt04k6uuYy/dlUiGKb14gd5EqdtdJ6Y7rwKpBgtpI5ebHOfZI4/f8DLNGudM2xsu83xEDNDi
1umm14BaszN+GmOT9YNzULM277jFTQ91Xs47tx+8WytcirTzbzfhAitGtzt3/8LemSxHrpxp9lXK
eo9rcMxY9CbmicEhmRxyAyNzwDw4HHAMT18HoVRbSmaqVi1q0Wa9kUmmzEteMiLg/v/fOR+/6LUs
+jsPQOFkJNREKtctKFiw1GaRGZwiK+02SPrHg21ocw0t84H3tSEQXxQXbu48omklApJlByEVLQ31
nLgXNUSYhg1Hntg0WYcGBOcko+xcGqN878lqvQAdBxtLswhc5ZOB3Ytl91PLxfA+jISAma0/goJm
D5eyhO3A0wczn3dkRUcGUHZvktWx1LW7SS2CSlMp94gYM4rZhfHq4rd6q8rB2KZQx18rp92U3rJs
dycWhfh3jJ+knljCpMJ7ROIVr2m9NRn9MYw9EdouDp1kXUe35MEeOo8fahlfIBWbBz/gIRXXFBl3
Vf/aJJ28kB5s3+u0ZpPoymXS7EmDD56F6xpyUvGRbHntpBGwRxmtUcUapHlzGudcx903uo++UuEi
H83YCjYykdGT3Tb2FfoUs5gohqfaKqrXNm4J0pYUSxmuOz1ZiMlWmrqRH3UpMEmlXvUrZOiyH5Hh
rgPJCZoNjXNB2A1RSdVx+UHwCRJWzxmBUXaFZ6yK6Zc45pTHHFSmL0DfPDIKqpmsPoqvojDNfWyX
5lWQ/9wQ0bPJuyl1jOZSHLCjxN8qZwbgYeS2IT9b/nBkH16JJbsvkxAGHREDWle7V++hkvFTzmj8
S43M7zQEAYxOJlLNj55xHWPidMs7JlsrtTxcq+RRZc5ubt2EA5tSL30SOYw9x+HqQ3avvUFWV0cR
4S1N19/SoPlzqNg+sxlPvF1FddeuGSm4ymcveBdjy+qKxrCnYfbUduyEPMcq8zh/eu5h6lz3G1dW
uZ3Rrf1suojeAS6AR4ru63svTtOrFkl6cJ2OA7lTyVNNxThPDSfcQTYzY7PSh9wYqi1BaHMbpKFg
LSoYckE7Xa25vUfiauHGpJFC+115CuacwsOG9u+O4fnFHdr8F/+ichuFjX8GzcGVWnRAKkMx/XKj
+XuHpXpFJRChPmwWbH2x0vFVqJFE3MmJsYrOURJfdZ5zchThnYVeZIPFUlPm5Kav6aJBGebivQ5Q
QwJg+3dNzzLQnSmEYRe3ri01nJdLPqn66icZsT3wZniuu3CiHC0JNw3cy0uSWAbS8xGOIuE9tyk0
Y3tvaezt+1ZcHI5ga2lZ1deYA3zEXU6/xKbrrQxpfsEAGe2caBcM0V7kMj9FJRVng7fx44EPl4kj
uWnujFhMVyKhctfFQCD4P+4zR33y8qRMeiyRtALAsYNuyS52EDRD6Dn7dhY2SwGTQi3X5oVaRPjP
W1xvBGLf58S8UgEnt7ShI1CUQUrhDjZH3RjWlntedAgIbW5yJ20fdVOkhAyVPGgVzlvDzcoDT4rs
JDRTZ6nL4L6fJ2ePk1XSahzfad/GUsJpND6lYy8GuoL5aE/yDIUCfjMFZRRar9jw1uOyMpbF4mmh
AoVon8EwNHcPSX1BEQ9lGevhUvJRyPDSGPUX5WbVO0JM3jx2IqLvbVTNxipKfOBJM5GjuaZY7bFs
hfE0Om7ZlcfW0QAjWCI7jpmuhsfMq2vWZeIbT8D22hgF19yk5RvPcok9O6Vfk9R1+Nbbc/RiiR70
T3NvWdFOxv20rMbpCEoq9lBu3Z6YpUemZsxPU+f1RxefJEJ5x9n32mq/e2jNMUEnffpes0Fkz0IZ
s2oa3oyaD09+NOE5kqI+QpgGh9Aa2GV5iNrSWtERCgf3xl16eNF9Wn4hoehcc9+izFNU9bzyzPbe
5nf6aJUW3wwhxZfYGn42RWZtuQmlp8TU4n4S/DfCl2xpbVszN3CXtTXz/nuetmJbOgSROX1gB5yM
CwwquDEChZ3PwWIVCmksAR5yzBagO8d0svtXWmr9L9TFGaS4rIEDd13eITbakvcgBBW7fGLpOD14
k85BLuFkwq5+Rlfz0TbD3Tyl9OEN6Y88d7KjL9u7UrcsL1kSNCt7fFVcfgLew74tpjvg1m+1rIwT
IeDk8X9k7vn/UPMFDxLnv5xoPn1kH6qjGfQfhpp/+1u/h5rY2HwPTdstC4h85O8zTS/8ywm46Xqu
KUhY3IKHv+OFtvmXQNFCeoDgEtPQJZP496Gm/RdZRZKHLoWigTBd978z1Ay8JT74p/ZFWBjiTBQ3
IS3mPhnIfxxq1mYzGoSL1M4saYXaG9GSjbYKl9OeCmvvSCyX9LQatfL24S1VLT2KyDflErZWbWhw
ybHi4Gxp2sUGe7QvHuxTuuamQ1LbH1qW3PMtwZ31pdVfQnLd/S3hnUt/6PZTazOJ07oB1IcRGtao
qKI7VFJtyz628o60TjdYk/uybPYe1td3Oq4wYgo4kXiL8YETIDA/tLFZRfEFO6/3abOC3sY+ifVR
h8HDnIv5TlJzsC2bOV+HjDe3jezzJ20Bv2jLND6mW/bdLCLvs8y76s1i/d8yK10y8lQGJgm2OaLz
2vSzV3qxSUbLW6y+GSDn9r4uxy9qidynt/S9uQTxp6mJ8NtO47sdOCMR98psoGrZEsOJ3JL8t1Q/
DhNcu8Ut7e/dkv+6TMkV6pYA9Cqu7OaeD17JB4row/fmRg9gsmALn96ogiGXPXEMMpZX6CH3PYD4
h3EYEsFqOeR9rpRNpaC+8QqGv7ALgQYz31NmVotjLSoqO5dzZd93DB2srlPWxeTzCk5vbMudJEr5
aXc9+ZDMaR6Yzzk/EiHGr2GPWGLhLUgaDKwjTw3a3RokaKBdoxial1JVIDw3EqN0UdMRm5KsQE1s
vy/JDduANo43cg7TBTF06ifhxZkEW1fjix664qFqZPKIGCBrdxE0zwE/h9rbCyeS/Y0ZAQ3zKbu8
wSTBwpUwdtLtyRODMNasO0FP2GVP1sFwIFLcG5wS3kAVwWqXBTZzeH5npPZXDITNZyWXzm7EmlOz
4nAIWtPw0IiA/xYeJryhMTdKpi+G8Z3WtOACHgXqR1gVokbf6JoknIhTqNwDogSMr+z98DcEZ+DO
ve1uaA6tXhpVC7Xa3MesZYITfM0zxW0AJ73m81+V5TrU5fwQ3ZAfaLua1T4ytHQhggSA9HnUYFn7
gjQ9umDKat4rq8/P/g0pEnXrfW8609+IG3LE/K07pdHkIZIYF020Ww1bmDXvPYwzWKhSpIIRXE9j
N66APgQ9aywIQIjnY2CPXbZj6NDvzBomBI2dARPFPT9+cmaL4giZZOEbXYjyNTOL4NPTgXP2B01D
ibmAVtmCXDl18NrrFLUOdl7uTp1wPtCRMD6MYeA9ZlQLvxUuKJes5mEiItk7p1bDpq2gpaNsxxWl
f3PrRH0mWcydsrgxYu2NF7PyubcP+WTBkcWeyVeOyCP2K7IEZLzkjTuDoSCNnGDi1OvRC/H5j3/j
1G7MGnIi7HPz6IiN1SxUWxiwvaWaNYCe4ZwzQQeYIRQcYZzwo3aM9CO/EXLWAssx8xE04wDQVbzD
uUObKvneel599RfUbjSpSknC3gMPXHC8dgHzghujN954vXhB94yZbtaschZpTB1eArIyX3lFZQv6
z6vyRgDyMJne834qrri4IATJnDjIM/PY2hMFq8IlX/w9a8kP+rGSyB9ADasbddhnghaC8kYjUuoz
f+HDxi2fSS1HH0FmBFfrBjF6nB9OKm7yN4hj1kvUL/g+QG5pvMqFgoQdMZnBM9+HeWnAJDkaQ2vw
/qZO3ap/dLYEqsxvgCXikzx4cW7gZX+DMFmc0YPu3ODMAYepAgBdoM124Tf9heQMblCnGOA7Sy44
G+cGfaob/wkIGncQofbChnZW038UCy/aD5Cj1sKQuqNrfHH4OCsJIkgSdmBfxDmXppTF7Kw/SIHZ
3iFd2FQ2AkSgNZt3Nh4d7OpCsdKlyU6DAutgKxq7rqgp7Jz0i+mUo8ufjdIXpg1AsX0SFAj/QptK
UgtoNndmzp8IDsUP5pj+PWlA+5tB0+CDNYl6Z0tI6wJ0N30oE5ZIfPOc6TB9DNW3bKF2SW2O9rpf
WF5owWSdpG0dbI2ZMC/KpmLwn+OFAQYbs4g5lyi/3L9BwgpD2zqiOHVN4qbuUDhFLjsCejbRwiyg
sasnorXuHD30NxDZTyOg5KDz+dRyFlZZLdTyYOfRAZ+KubNKKpudhW7OF84ZzaN1iKnAeEa5kmDB
CPS2WcjoKO/6dzUxclnF5WIpcdAOkfDifWiQn/Ur7v2tfQ9B9tSjmtjYnnytY2Kk+AUMeCBCGHXq
RufUppaT+ZzzY0wy8xiDc60tl8xXp5tp40wpHDjX10j6P7GXfHaxY+xFiou0i1C+rXtG1jgU49F5
7XIuXNu64ZOYhIvCIcQ2dLCPDqEie83IK2uOg4OwDG92jVHHNjyX5VMx2QTMCAZSi0uKlf7MJPiB
E73GQCI68ZKACc+rBveNexigtsYrIazqRwRCQL5Lc9RxEuDM5SpXX5wObfccmktQNTO2lpZ4vBJG
z4RIgg1OQCZthZ1mxxotzDbJMv8pd0GtXR0VG1yiOCuC1PoVpFH3XgS22ozzpD4NXD5rRgtOuhlM
kqYrWkG9q89mZVWFVCyxRSjoI6AhJ/cuU1YbxlcH6Yqkglyn9TogqFdtLJnq+SoXNGBb8oKJN2VD
tmsbR50ttrqNx2OTGvZVglSlMFMUm2xp47DJN3HHPIazrX4GMmKR5BUDrx0qho9lSSnxmk8E7cNX
m8H9PIPLImZqw7thbsKLiXtvYq3YJ59lo+yT27YGzeiENT8bq0Oj1VGH+c2Efc82qHIWVzeJ344b
agS4zWUKD1pnEo47UqlCc/3kUr+R81O+Ey1+sVWf2763skbvlJfk94kIcb2tPUu9cIgCoMhRJH9X
cmrfetq9TkXpBnR4WEu3Jw+l8UpvF+vSgn28QbLQjcRK2SK7730BzWl7boePxEjmjci71rtwBSuP
biuCDDkb0aJhaJenHxd0NACjydeDvpnv8Pek1nokzLApqQF5HMK5frHJlPnknNL6GODwecsG2WcH
xMPyUQPo15sAImPa9in/yAv7oSm9b0UU342Zwu5hg5R9sB6Qj1ZTek+RaqlmjSyvYwNCNQFTmd7i
daJdQlW5XfQmlHS2aZl/bDRas2FlcDB9dGN3OPcRP541rRbzIoOd3Reqv1CsxHUCq5ya+Ke2QUKf
0WvsZvRJI6oDViQaxx8ZltNRljQzwoa+Kz44KERPyJRBKQKsANj0JVpx3jYha5S8TH1kHjJjtMIH
9ITMKUu6lzxyBAsvntH3PQVQ56rXestboP1Z9q54GnKdqI1owuIxmUfjqyXN8MXSo7u3dBj+7CnN
+Erl7HAOXNd4n7C7spKRGSXPdda/8/nLccGRneWsS/osQImX+PJQmsHRRE3zWqcTqF7PM+aV+AmC
KZoH0J3FhZnl+5p5fMShmf6XdYxttuCkbLL3Mdm7BRgCq6g9sG8oT56v4W9qnVC5riyv2EmTwRcj
CZ5uAOWJnPYRS7L0NHdefnZ7Z5LH3llQzDQrJBWhYRH+0uwUvquWweS6wC5rbRV3qRcnmxIMEMkw
tmJvwjQseto2cU7AV5AkNjKHbOfOw6Cp66GLzvioW+UfJhjyoKa/tIAzSqpsJr46a647G0I2dfDG
mkAETy7gPWt5XmmNQwJWuP4qi/oPagbQI8Zeths6iHg00P42xnpl7MfK8Y427ydemDPR7gs4M9Z/
QuH0+gEFcWDFe0ScLnCfTZ438ymPpuiRljRZPBS9mCvE/HMYWxd0maj+Erb6xbYM4n5rmbbp2Wu7
1PQcUrvhtqzBqkRKeZfMNccjXGU90RjRlM61w7cfnVyhdHIfDH4P8JNG0XDIFGuCEQnbI7yONCDD
OJM8T0zf5n1IB4+9U+OcpEdWiimqhrhpywOQEGt+PEeT+lbOk/kRpllO0dfUu9G33IsplvPHWPiX
mFxyhDgyHUB9SDyC/VtAzin2jYk2hE08WeY329PkDduuxVAso2bBU90pvPD4lsMhD0R/cqZSYKJw
lTjUFBvtO6LFZCcib/ySVPg9jlOKb3GXMIAP6Ars4+yudvzBXzPzrpF45ZbaIfrSxqaLB2+PsS2M
TnZLJmbXAIzJNWU0fnSqZD9JC+qcdoUVTwbMNBQJFep9zDluN3KcyrvCxjICtgZ5RiSYHGRDATsC
xEMUhEsU0S395IWHlKcWaXbFMccchgt7nYBK2TRVuvwKXe1kn4L3MO3mfTcBuDbAcqwQQA5M5emH
TIbhe8bhDuPCRApgo/jXwQDRptN8EDGbmXNisCHYBpHrO+wJ/G7nWy0G5zlojTMZ7PcwY1GykgJv
SZKjIC+dqPlm2CMDY2Cah0zFT5mWZo9zIqdOgTAhCc7Z1ugMRq8hxx2hTrAI2eNggdr5ReDGsI4C
UMrYMGJYihCKZPo+xa1tkzgUrBnIzih0fbhielilde/FNs9/l0yStqXhIMIunvpY8dlEf0t+jkfe
sZxaIpImUTAxn4uNWH8qP+gXd2hgUpHjteWSPOBec0hVS+ZV6Sl+UfRL8vsIlp1IQSD/fvLswroj
IKbjDX/bZMxeadPYyKwOK9aGyYhEtTUXIKjyf0g++tPtKC31VREgWXovmvajNLzqCDVtrAvPjy5+
UyjKRMpZePhSXeSxc+na924R20/sip09nvzymLFZnZGa8uPwBq8lsjp2z/zkw4NDSR9/v/YB44ZZ
HRuzGj9iZcYv05R2rxOkZ7bHNGGdtC2W+r1wIt0WEFuN8Uk065wQvLn2a2GWm0G7jbmpEFkV17Dv
CevgEi3DncG/2IuM8/AcsJwsVyO6uQHqPRok8/8u3Kg28uSmwwXaMj/OTL0ZMLfyiS1Db/s/Mrf8
l72+SzD0+9+LfdX/CYouNRD/8D+2N575sf/ZTk8/VV90f6+sXf7kv/t//sfPf4eKti3PY9L4r6no
548yLf7j+vGj/3Ny+fuv/Sajzb9spoxICEKX2K5jE3j8XUvh/UWu0sI9zQySW84y1Pw9uhT2X05o
kiw2beBoK3AZOP4eXQYYq12Lv+Wg4yfMSbzz7z+A3wFifnb/MsW8pJT/HFz6oW1RmWFbLl+NzP3C
Tf8R622lHfTe6LVbPtYfBAseSA35rXSob205QRpdfnL49AeAxGT8x0/q97fyH/QQPaBR7NT//l+e
/c9QNtiN7xF352diM6j1loj1H1+cwZKZDbzNtqIwsPYtFkGjo2WgHdW4WsJpzCwyi9pWnez7xkxh
3YT5nY/amGYfpFnbpHMUyQ3gmat22YCM8+ieueETuHdT+yRb3vtpq8I7O1VsQtsJ/DQCF5kOkdmQ
4Gn8R47dbn7XLLwJdOWzzWRj7bPIuuK/RCI488i/d2p2qpveU3ccXfMUMQJJLReYvCC63rF6VfbV
d2bjmYwBZ5cGHegjpZDWxQqU8ezDIZIDrcP7wYbp833bAd9bRmb4zL5mKR2h0kcXihgVhXTh9Xs+
UtxzyIxg70JbHmeHqTjhSsPgaAxOkh8cH7WKDziiNq2R9uRBpVvbZ8k5rtk7vh3t45QzLFEtj25I
VqLfCNQBrORWYz0xuombtWJFxCe4wU9N2dNh0pm6dIS7uJ3JpHwkeap/0rRnvjNJUdyKXKOa1lh4
+assg4Y3vJxJjstqKL9UtnrtpeGieyRIGlrdOaicc1hVzSHOWnXQbZDuIXS/eb0ZUi7gjN6m6GFl
il71FiRL1uN9zhiQHeZyHK89wyF+WXl+1lASe9za+d6iwqJfZzKoLxXrhiNBViYYOhmeY3p299y0
cVW33D4VkuDt3PPrViI3P2gio1W5alS0Dv1y3OdGeF9OcrgwXY93edM2d7bBodXy3Qp2h+e3b6jg
INATbUPeORQZdr24TOmQNGtQMfDebIgaIoYEM4q2nHdhD90Y+5A9JD7DnXaseeN1vXqlvit49fPc
vGuyhtd07J4DIYnjLq9zOPRizancubOnNnzW4O2rpOy7zUAH0dZG8caAImyYw8lkxJQVqGefEGi4
ct02/xLE8MQbTdCaCkVMf+R8cvyaGJI5Z33Lgt4WuwbbK01s+K/lJlc65d0iBjffOfNMa6s9WJR/
AJrP16Dy7c/Kibonui44hfgg//upIn0y2JH/E7V4+8UfVPh1GWqT5kt64xsylvGS9qXzbJNdFJux
HqUP/4DWaktNct1yDXcjDMOGIfceYqFsPZgpksMxBw89Ak4Nn800EgjVLF4vWSta8Q2qZ9rPvjut
Q5f2Kd7XXvapxrZ4GKiQ2Mi4L55VarkINeVRVUwSgmL4NS+n7bIdh11e2djHwY1+pDD1hyl20zuZ
98lxbgE7RdQwY4+lrYm3Js3ZdFMeqf0ouq/eYIXfs8iOjkbtzRvD5QhQwVDA8ajShX2TmdykhCPv
ZoEsAoipfbWjggV1PwjCO7P7Ec262uHdTX9ZnhAYIYfqqaIRjOBEKD7KePYeRI9BOUoifoRjoL5y
j6v3hVbmpYPRe0syV74glLO/An84x0Qx9254hEcbN9fI3vs+H/aNUmgrmFOMak1BlWi/M8Or4nNi
tzH736wInK8WgRYaePmbb+2MF5yr0K8oslEIOhRczFuREBE9gMnMSILSbNrCzOHjSpg4hJxog03W
Uyqzjk3qUxgFTh4iQyNsN2Om0w9eaeO0qiLUbfiOwtTcGCmfxkgOyDkkBDvRgTZAZxuKasptjzEz
vHTNVJ5mG4nOTjo515TAsAL81IH45hpuyERt1kdp+tGrsqn52WSGHtB5VUNqbAk88rYBNIs+ODMv
ZmXiomfgs+Glz6rOP9I/mUac8vL5EWf5Ygq3cWlFMf3OVTY2145opnVKyiDcamN6nyBtrQ021Ghf
6cL4UvV285Pcrib1Wifbwbfo/zT7njAQKeOO5PJUVm+8+AkHE6Nk/c7AAwUjvmB2R70rGZfKQXuE
Hn25SK86CdvvDI14HxtNRWCX5GIB4yp6sHvZvRsVoeGtnzfOK8ZG802mKPlNOVvf076z0PnN4Sbs
5nZnoqa/H5iw/1D0QV0JyIYZyU786yS75wiJ07ww5DH3tjV/LD0zQWaUFje+/UxOFyR8cHjTr2qn
k1xsW74BtB/5EqacmTYOArSeihQqA1a5yhsi6LDs5gopb1rscTBQPISYsS/XFn1U4y64VZsT3A5A
95bnDpBv/cKjJ4o3lD/RDlyPuvmaLz3pOdGCHb8yQtoZLepOXowXYoc88JiNhytT0reuaw1yViSL
15bC6eqBIzkiCIe3AzkLn3Aqze04kpKEXb5vI6XFWspRnQC8tKoL7YEMLxi+nMtQDjRjM/FZsZfN
qjX5WQoPwqU53hD0GDLsm9WiHxnM5Y1OihEa1trGZhj8wL7O67af0L5jIgrVr3a6jd+Wynqiylio
bkX2GF2SN/IIzgZdcfdo5PCanTc+JBhWnuZ8iF9E5yIls6g6iloTUrRJLGYgVemuEwq3LiqJk3vl
o/rgx2k4X3HQ6O96StEI52nrA0PG07gie2nOkLX0eNiO294Fc3IBON8ysuCB3Eu1d8y64QRhJc96
RE+ONY+/nDgyv1q1QWgvLeyrMwoPsy/x7qex61CyOZ15TqKJoFQJcgi4zzJPr+ijIgMV0othxhW+
Gfu7ow13wxXmPp9ic1VOEVq/rOHr8Re9nY5K/0TGuN4D2lvrsmmoJYAEWxYYVfCAgpYshqeETXGo
BRTKza2pz/ifKLlCI8JNjhcV5yAOQr9KnczXSTVjcQxSY37yrMxjCmlDoTPk4hs6WklJnsoCXUdR
2Lc/WTvQs+cEafe9D5b2vfLWxKdbSvkIKZoXSFoN24wen9a+W4NfwUBDERQpo+G4AEb8o4FqYJZv
/VYMk85q6uZ+TQOpCjjyuTwPm6UXqyNA+QqDRGks0nvmmhxVvFXnLaZFMwicdJtJWrYwFvqPDrqI
FzEvbj+p03whnBu4YIvT17ZdGrtkXCoEO7cir3IKwwepmvmaY8U/tEvj1+2maFpWRr8RfWAjkV9z
Pd5qwvIAPOUYjalD8qX0+E40H+DNetnDpCvpEg4Oc6KByBMt6sfspYkMhmspJVMjo7tqyigrM8e6
vfRGmKgtLTb1JVl6zbpbxRk7S+S+/F7YfVGZRNAAmowPMTKorrq0WM6G++pWm9ayN6lgbbWegboR
A9/HlIxVmwx7AkKVW/1alodUseUciN2dC3f9Rd/K2vrIx2KZacvSp9CTOtjRssmhoy7CU6/9IuDY
Y46cgD1k12Jy6DQjg604rVEZR6GE9Yra2WPOSHn5SThkAsulZm6+Nc7ppXyOhICuzsR4QA3MdJAD
QzlyHxsyfS1H1obyp7kq8BJgEBg3kTEzUPVNjlHbwarovrO4OWgAV4/lNL+TsD0lVLC9FsjaX1qk
0ekFHRqsuNsN8bGoYSyJZBk/TZFFDOqW7j2Tp8pxGrmkr+ulnI/VLJYlxiXdK7/t5o6m5axgEmV3
R3cp94tUYZ1nh2xE6EbdpSTlC0ZzawTkX3078U30LFed8dpoil82fkL/NF4jhU66CaX7jI2Hbez/
5T4m/pnM45YZmsLzbbDWQBCP+cfrGIvvri9SBzkeWmB2K/FnlVZfGCC92WH5BacJD1afYCGHzG+K
APrfck//8ipKGucfrqLLl/dMM4CiAtczzeX//+M2mEfKKvPB6LZtpOSK4oDqwg+/OP/Xt87bjfbP
G+/yZUJruXGafB331uD0x5eZ1KytYXbIGcQskyiKa6iKMWwjODgJNMU6101praywSn5UPJ4suEK6
kleC/eEbshoXIXTVX7ym7J5yKJy75Ue29sgfIcABqCCI0tDCxgSUJpDM7x4Y0NbR/28R+7fmMcLD
4WbxMPrjd75MfX5Pc64fJWDt88/io4o/qo8/RzJ//M3fYxnxF3NaD1DW45/HnJzhxO+xjP+XBerq
MLC5Oen+aBIT4V+cGAh5EfC2gsAMQGt/j2WE+xdHnhAymvJRm4jsf28sEy5vtj9fpp7r2sKz8GXC
/tiO9U94eZoHqQKNiTmCdE8ek/dDSY/3uuZMtguNcviZBVNF/jsMqUUmDkzKVGFX8uwDTwp7F9Jt
YG41r0tEI9z7HukF6XYC5PDYLWxjQoPP1Y9i786mP+jIvLLedcySf7RWVO9opM7oucF++ano7lV3
2eLvW7Vj6r1x50xeuqZSd7Juuegh0kwjJC1mcPbHGbf9MHSsf2M3LA4IVTBVxANlo71jULVcDd+j
dG75iAvOHCn1m2eVmL3qxoKuFV4684zDct96ZH4lHwH5umyd9silOPuKg8mhaUh6A8uxYgyxgDiB
Ua0r9mT3OcHWmm5oPLOIvkP3ro+CtCIy4rtfq9bU7yEVZBMcQtodmzCLntlEk8u1MF0ht5Vecp3y
Fo9Jb4x4eTqKCu47ngAvbUUH2xa1HtXjTD9WmqoeQdTpwHVw+F6bZclInWIuemeUuu/y0YAEqdCD
ToVwXyJzsC+dbRvPSe6bb0ZdMUVjhamPk9TDo47iatvaMW3RExqldeyNyzde4IrK+d77hJFEHbSH
GnHgxSxSBjb8mqtPr2/cIyIjjkicliy+ySAkXWJzoczNTNyTPuDwnfvUIEQ1FgpuXHZHXbqX7i3O
X+wTRXt0kijYaDWcal8Rke0t+gLiIXnqR3KwAy4xsYI04qhNppp2zH4ePuJEZqeBLso7XlB9Fq28
oDEIG2tnGxc+Keo23OhR1ZvchEwO59Y7+KjGXhpVdzgnDHkWBudPw/BLFoujvPfZotFNUE/M/Qb7
PgH220LZxQevL80zv9HoaBlK7so5N7/JeZ5PiRNHD7VdYcXPeKG2gMGfHfjfzrRHBcUIaA0W9Syp
zhpCdHBR1icPeT7Slw2M8pU0SrSL+8D5SEU/nVOzdVhSUtjmUQ5r+616Nc3mHeZoWgmfwxG/phcV
arKBVd9huPFDN/1SjsOBZoWHxmJeD1/sNUCSM8cOAMZVPxKqwsXaH9yqa5o1Z7ucvi7w5mfeB4jg
sDg9hbnrVQduGNmpYLXypugofmYfX+OfsoUd7PlDKbTBaCNQSdti+sIGVx5wa7tXkx8fk86OQB3z
qfQIRIflpKw956XKAufqlpSSiXaJE00lPELkD+kvUxfNrkXS0zF8iNQnSSROH30fhPTQC47MXcoH
BZkv2n15nUwPiZMmj1wsCPtngDm4q4L4oUFOzO2Z2dXTGAQTakCERFsm2Pq9STNymakznCY6xa5Y
rLmQDTbVHolTSLCDXjyFlvQP9K7Z4VJdr5+DkLKtvvSHg0edx2dYpOXz1Fl1e6DVzfnk9Z3+Sjxt
24i1hGStN1nJh4gKh8kZCVVCMInvAxsgcZnM0mKLmpW23OV1JvdDLImvLaHTfdPn1T3hC/tZk7E9
Ra1rfclLZcMkEsxb8UPxHpK0pyHA8qTYmi3pmH1v9vH9PGTikUyHtycX3l26pCm/Z7yE+a1GtvXC
pK67AJLaHJhmecA+SoU8Mxgax0piAZh2YKAYxppnDxvJgYtqfMask11EkNO6xu4dELU1hHimUAVv
sO8Vxpb3r3/18658DNrYfHLwalOFJvCrnTgNg2UXpUnGierB78O8CORK4l++Cce5hkZZg9WdMna2
vOczcgREATWhN6PO92k5SLXN0yA52TikD0NYXc2sRcUjDNfYNDZ1W0nYicMYiPLRy7ph7fLG3aLi
Tfct/wF8NFdflGZQ1KmUSUsa3ussje/ysQy+53aY3g1xlO+EVc+M3jt9jr3SAol1zc98lvmd1sgG
siqiRrJ0/TO3e36HVkyrZShzJsIZQwQKic7VNMGuwuoNW78sP4VCaVUIoz3YTuW9GonceUH/Splx
s+etnxxF7m0TaSUbI8v1Dyohf2aq8beeMiZ8yyKFM2ZyXtgSwoduP7d3HSyi6X9Sd2bLkSPpcn4V
vQDagAACy20mcueSZJEssm5g3Ao7EAjseHp9qBnpzIzOHDOZyWRS37V1s4q5IBb/3T+/F4YDQT5y
jQfLqJj+L3F1io3obMYaW1ntTuauK4z5dVarLBpZsX6gLdq24RQYaqcdAeuleFpKbwJvycWmTtRr
Yc7iVKiORgWdfqxSVkH1lfDsjcIxHVLziK6HDDftu8gZHq3ByW6nwVAILKq700JcPF/+6id1RD1Q
m6rFVIJs0OMEh3rp1+LGcroF1xfgRoIWOkCEH4OaybDXZxdhVz4eC/zSyWaSUXFIE/p0qBl3ykNj
Z2cNQQ/YqJybmf4EjuCh5XeMDVEMFTJ98V7OBcYMZhBvNnmyAIPLnN6SeR4OVWI1NH/aRvPYdIU+
LM3o08fk+JwTaEChTyfOS3xvUPGoY7A3S2/Y32UXD+mOLV4CA1NdwmHGiInOj32KPVe17AMgViGZ
zoKyti3THvezqtv+3nO7kVrghAa7imyqN7KJBQFldwzfb+uaevOZqQBL1Zw92S18u20UdGO9taJx
eiGw+RXwdX9bpBty7LmVid/v8xawBAti85i63J9r5vT2n0kTL4ryLUL34gGJc3kDzmHiey+mc2Zr
sEJUpDRbc+zmrR1oiHN+Lj9akUe/mOU2G0o4p50f2O6mLA1vr22ln2tvqI5Yragb8kglakpVVRbF
L7nEfV/i4/9tw9B7xc+j9sKjfRqrX1Wmx4IBzHGsAqkgw2sF0oAZ9kYCQb+yB0DdLPLhDncGhEEO
ZC8prswzodHp3DAeCfHrmydVyo4NyZM3CNK12OLR8k+J5r2SyIqfopHm0Y+7NrQxM+7bkq7ZsLTk
AU7GYeny59kF5sO4OPTkSAmDrUPRgpE0xwhoHu4IGLh0Hoz623ZGznM1X0XcAvhQuAazEIdlN5Yh
LpUQt8uDYTf2ua5H50TUXB7TMqrfJesZTRAcKWRbMoSnZHqvurRmh4HInuHkeXAXw7qJIyDpuN2i
2wqtEo5wBBurqFRIp9iW4Z64i4f+IsT827JaSjQGtikKDjntf/VFC2xCQs4SHLXugrx29lU8NheK
gJKDsXBhb0d2lUBbw1MHuvgZwnIBq2GiDt2a7syYYTk9hKRoKfFkkjHRXTDSM5ZHcGVmRwV7yDBT
srXt6Y0fGm7S0ls+tA/jIcrMbO8kcUV5UG7/5P0m5uy4PaU/SqXeXiW5s5Mx5KwqdZKzF3neg8Lx
vokYcAJxj/J7AXp3DdRFDyaG9JsSMxm0FNhgm0Tl8soTilqJ/KZvuIeUD1Us5Df0eWrgu6i6tydh
3cleuOdeF/I7SKLg1u0Df8MEizYw8CoXabqAXbKmSt8Afna3LJvFCcjYGAJF/cSmGhy9Cup67GT9
XedY/htm4G5X0ZGK+MxGz7nIztQtAUNMuBoGyKku47bFL6pmVg+MpvEyVfuCq9Mx0ER/DenNj7QJ
tHQx6P6MhzwKKyOozvaUzy+k7Kv7qUxea2wXVzNSORY0vznankrDObcPNg4V1Kus2XvpmgxjlhbO
iQVWw8vY6RRtWIpz066CnYUtzE3JSebyp8lVhrfZBzjZs+BxfqxfoSfIX0FV5GcrrvgC69bBIo7B
ZrPEPbl26I7JQywYAJW9i79KLdNnNBf51qWrGSyl4G+ekYtaqsZuJg8kQe1R29QN8U9/bWMQJe3l
8DLftI5PS5wfGLOqkwUxhanYcGVHnVB3OfKGpuxbDDNGaJoz5ZF4VTe+Gj8hzfXYyVV5zvSauUP4
PtnSss7ehOlLtLkZTiU24zHxt4FJuIUQLnG14mscTGhzwLlOWc0fxRGWxsSx0J8z2Y0LuU8mRE5a
5Hsx4kmLypHUK/2Fe2ICvH3O6Nwb0mf+luT6ipOu2tLOpj5MvjB3fW4NGF2AJNA56W24+nCcoAYS
qPDc3ZYgxbdTnM4/oihtOS9kxXtuBQsvhdF+WS3JJ5cxcRrwfIaYh5zNgLPt2TCW8TEfFiyYTWVb
b5VXG79KlK99k5rqyOTpTyKkUOStp5JLD0D1qyY1BOSyhbNLXAnPbJDvfTWju6+EZNp3UGG3quXz
klizXwkkjXyzMHzVDF6YW/VMezEGNmwpNTBPXOKg/1IaQjnwD11wQ880f74C2kyuMgwwoHI8Nc+5
q81d6ZXEbKcjOfAnHxV6C34pvZJMYYJSVPOx9b14Pzu6wexUdyfG99RfmTUVZQPWtcCL3BcDbQqM
dB19kktn+5z7CgFay+DAxwMToBy8W0B66sbtnPLN86Oes5GUp9rkSIsl3GAXnIk3WijA5pEOvwn+
tGUwXqkqlvgmLYODsBOiFmONZxpetb+PdOZ/msEMViRqJb3aReT9ClzD9TaG6ecviiPSTlEJc9cR
N35tJlrb5iQiJins6d2tkpK9I6+YLvQzUSWnWh4ACg/nXC7Tg9G2TAAkftMtyTgBpdNbTgtKxWNA
2uIdekR6cPWoXhX72wrAtU/e7JQ7Nx+Zb+Cyw/jbKRfQjWWGImrqhw7kDxH0etDfJtCfJ6NyR2/T
Dk5760oSLkQaqGQlo+K/YbtoDjCIf6d5FZxxjOIzxFplw62xTGAYdkq1MFYNbcLYDxXcitvJW8RZ
R0LsjXkuX3uZc3Klif1KO5kLA6uo7yI9yLtC6zV9D2YprBNYyTROiPaae52653AN3BNf90wRp2Cp
adhEH+MaswmIGlmclFv6B8Jy+kemOMPSYZuXx1IETkhq1b8RscWwoKjaZ9eEI1yvhmYK01bTKjaJ
SEcYGINlAOlYuWIj23E5lxzPzk2zjK+4lIengFPoQy9GdpMls19KMaXnYKB4J/Z69qJoXO5oqlPY
8ZQZ32gns26rlnJ1wrn0fWeFPNFljf1iYexIU3HmyveBtg5FbMo230uXrDfiwTL9dHJMMACqghbh
oXPMZkdvYH8xltba2XQ6QedCTt/PjDNv2cfVWzJF6mXwGrlblMPFwO9aYJ2ivie859OXlXtnX0sm
Xf3AqMkQ5R0TVI5YWdfSYOBl6fBqeeBPwO8m95EziYNurYX52Ji7b4sFTEYSENzQDFVAepOcOmGw
UejUO83Og1GBqdGN+Wj9dzWigCSZcVgQrfbmzB2c18HEi1HOsAL4I5/VFbk5b6mzR3uwSj4lq8NW
oQ0KfOzCBBmQtz1QcfzHHwYl9cQIMo5L9GGRQPKMBpyvbanIJJ1fbXnVHG8N/KhplBW3qSP5ZcVE
zePkEBX7I2j+X0Mj/j9otbMoZGMg8e+tdhwP3z+T9+K/XfX713eb/JO6+7cf/ntUOPiLKYIkE4yz
zIdBj3T6d2VX/iXRZ5EqTduxvGD9L/8jK2z/BanJ4tzt4tRDGP4PZZcYMc+gu57h8XL/+U//YrD7
rwx3wuZP+idl1/Sw7jN5cCzGEJZwVlfcPwwgBH2AaiQQdgAzCyCSdi3Uw4ClQBkzLXKdTTrATIIX
cNP+wYXPscG523EHylDDyBJ+mXqpjpC7RFgL/P9lUB6csst+FTr39vXiKjy1Xd58Nh3rNQgP4Pnj
HN8ZUTs9YlE29nVfUfRkpZ3+wvY8H6ak9R5ZH9Nxl5jK+YyKunQ2uNaZLRrlfg762zRziotj8nj0
o9txWoxPPAUkEC3O76kK7s0+bY4qiPtXN26Cr9xwe7r0mKQdcKH1e7tC1toWWTF9xUSTf2ET789L
m4lQulN3WNo6gdURzIdZ4Ixrp6YPOYXdBnPq39sFTP6ZtutjneA1amaW6rFxzGPat8t1ZPC3Cyh1
gvVku2QGCoz7G0Jm6nlY6vqbrnb3tjMN7IB+/wRZJ/jJPuRfba9x0LXkkPKu1uCDCZW0alN0Wnu7
KOESi36WDQcAtxMuXpG/tmyAZ9ufunOVC/AO5XAb5Wl6Q1lWuydC2/4oOJafwEhiD48WqDRx7qUf
ACCMnyIi3Q3B3LmJ/Tb6UNPA/G6CJP97mF3OULM/vNaZKG/5wHmdsiPd0VRotqZzN8qorYg9Sbxe
dVHsItP/PTl5FborvmFTDEN5piKd23hhf47liGa4FNx4uSSB8vJchzfKqH6whWV7XCNByHXYfKV6
ir3LBXwNVpdCJw55t3aStEclsGOPNgXDRBzINsQdob1BDthFRju7SCN68fUyhiB4yifHXGPRtOpu
uiWx36ZZ5cde+JyqHK+8T4tV1tYrx9EdqHDTgtuhF7W7EVoEgzV8p9TtfGOTjCLw00reWehjpx6x
jw8dK0hnljeUmQdfkv3keSLk0KMqli/zJIqzDw78aayoC9xMU9Dc+IPRUwttigdalUGDGoHhhG7t
0IXj6F59tU57Hzj0yFp9rPa9ysQdtqRyD9JkukvIzKLNC761qRkUz4WHXBlOLi5Po+Q9CzJOKIau
+l+LTOoLkDn12JegX5ZU+fuZftoNCtpX47Qb1wI/qGbPe6GJgLMK4hAyH9qfnrMQC15ymKARPls+
Zy4OaguNpQaDdTMarWRNAcd3XW3GV3uxnJBJBBZ6UBkBEvSozUNrr/fuyJyxrWTW1itl9QmbBq0m
kEZzpOcbXuFk+LtJ59elrz9bazpDEMy2tJyEwuyMVTSHbWGro9/gfsFg/JQQp4mtSpwoBccxKhIu
8P+wVl//Nrj6R7Pv/+L1ZdUTIBeYs0kol47/L/OsiBqQsW5ZDlId4xIdkA5MbrHgwPg6VupmKlAr
xlLsuAy+FlNhJzuOVPoOUlFqA6ir4IYuw/gbIFgfVklVXAjhA/pKhZHf1LFdvdZNobmXjam9Qy3l
kNlh+F9T50v+iP2B55n4Gc82NDMbAZDnAtbhui6MkrZbQojIizvGVPmv//qleytn4p9WfMvmdMfO
s04VXTaff1nxZxqYOWnH5sGS8Y+AYTKNx/YPw59+MQfPNlYNyVR6cXPj6d7DA81nvPeHCeZhQ1E0
53TSBxbpU1o3gFzDb4M6OIaaUt7vnKKmp6QE/OIRlXFw1FBmQjxA9PqX34IqxKtwwAhzFoXwt3me
fjbNVG/5bpXXqff1yTID5Pm56M8BOspZNGUJBDAfGoZeuX2qiJ+6WzM3ux3vo9hGNBKFA2V9B0LA
5bX3xuAXLc7Vr3kwUU9cplOYUfo7Gc/NXUH55x6TVEkobPReazpyTm4J5ncu0+GRf0UvW/r0NcO0
d56GkRtX0PkYlVx5GHu1HGqX+ZngpEai1UepHpE49jGx3x8zNcy4nKBMbfm1CdpnebLPncA66FG6
+5xNlgaYvO/Yg/rVixPpl05QsBrbgXrJ7CwIOYM7v10zwDjc4TUGDMhYRcnsooh4EF5phXwxOinu
g8U3ftjtSIQ3CnBwL7jAvgmWTC8uftEX6dXVFVunvqIMgrIkcXSk0CC5iRqTUcbgnICGhh3AWy6d
ROIbv526jddb0wNG6vFhGsv8bhirnhM6avUhcUDKF3M/hdnc6B/U3gdMkRbgOrUlPvBcRU915NSI
s8Uz1F4qi7tFMhPt2qX8VZoKlI0tuptFU/lNnHa6VLFPda4PWcR3ixTfOOH6jfYgZEIun9fkMZdZ
HEmKyAtVVi0+hgeX7FRzABs1HyVR1VA6NqNK8lm7YFjyK9H1+tbFSRfSHEbjVWyr88Tg/IE7Bvp3
E3FcYarsFltdV/fMbX7QqohTsigPRjzfTq1rHDLfG5nYogHPLFXtumbFLqtXtK5jdmwlD+ViGL/9
dYUb1rWuoLG9HjVYV/hpSOMFkuWfhbH/s0iyUjhhv66cel1DffiODGFSsbAQJCbd0Ot6y4W0ep7W
NVgLZzpXY82aq0Qzv0Ln9NFGZlZ0q24eOc/Xl8W0+l9yRNKp1/lmbmhBqe66MWTrHuGtuwXtycxl
83UPIYiTGkd82lW67f5sQSaABHgMxtyNYW413tNs1vK+VXSV45lmX0t1YqPW1FYuD5Sx6TMsaLVv
132y19kSZn92UDqw/Y9RZZKtgu80PDeRqgsgXuRh1ZWADSPcwVFCzXAIWJ8tfTEhWcXz6gxngj3s
acWiDXtp+Yi8P6cGnFZViADwe1mPFGDDOVwA28i2Ve/JMFnPHYxCN1GQMFQibs+0rQCsGhn9dAGG
rcIiMKZTJBlxAQooD4qjTzj4ZXbKeiwBGwQSpgtDgA9tqvtpExR5fisJ4J7sru5us7gUEHBd565r
pf9YzWRPNppk2F4wRf5uFiWuUzHKz6Hoh2vazumz0WfdjwgeSQv1uPdOlJUaoRFpg0IVRoX3rhWM
yJxQCe9cw+6PjPfyW850JCJHR7hIukLIK0QdJmmRKqEfD2Qk1Ojpj0kPr6arVBj4xpwAjzTlHmau
dfBpxHnCBujvMm4NJ23AwCB27w5PtK6tUY9WUoZG1+VVLjXahjs5P8qsdq/kluWW3g2+H2VaP6m6
j5k5mLo42UaadWGZJoipyeBnbLwKsmFARPnWVVW8c4eRLGGemh9TsPSf8BMU7/FCXoEDKT1S47hI
c+O6sbdOH3gbqfhFwM9WSarACXz2XJVfRu0b5wCXwbGkWemceYTb0P+Y0KvGjR/S2DBB7IH1IbD2
RCq23E61wcCoisBzLRYBnJGuxwewL/mvjDaxEKyBxGWoy+4jlkP8S/Xd2vFHDycsmOjA//JhgtzZ
8RvJXcdQ9SJUwJefZGLBVm6mDwbls5vKpol7U0tOgYTHXeea8jIiSji20s22fq2YvGXLtykMgwwQ
XnbsKymEUwpHsamnHRQG3DyvdZs7Zwg8/a20U2bWltfvxjTHhJuhQOGQzXkBFcwGnwP7TnMHIODo
ngPT+V2OwQfKmH1gAwPtEIB/pXJd+jztI4fyKoN5mJT2fGDl4WBNEdILxcKhi+D4YjlKvDokLY5D
X6ifo5TZTxrO9XfO8x4GRkbapVvAt5lE1Qs8BVkm3ZN06ltKXO6B/9oc+ieACxNDk5wRHuXBBcgD
et8mGAA9rCjzopWjTr7bse9GuTyTpLaPS6eynaXl/JYafE/NxRGXaTTwAyZu9IkJ3jngH81G8oLr
sX4BiAxPqIdilzhfPRzGQ+A04CutmTyVLtOLmulwufSVUT+6xiCeEu4vE3S3qfseciyYWztv/Zuq
qVhtIEhmPyo1QvdeRiisGVrJHkilOujalhyNVTDwJOIvCbFPuvypRAWKdEBx9JQ+i7QqeX5aXvtQ
RCcCiNmlssZu6/NCcd8Qatw5XEfuqRhKjpX2lt0YFO1BRWhQkF7sTWPk82nC1ndIVwosNFzvtfyD
ho1WSizI6HmP4AUixOq9X0mTWgTdkeZoecrpuC5mnlqs3S7X0CTrKExpT2QF3gL04MUzf69Rwd1g
RdZ7NxjefUB9NGSApzb3aKcB+9s+iljP5WEkLvOV2Uw37cR/KbuKQ3XP3r6sEN1x0OPBJwBGQsae
DuYK28ViZL5QU9PQy77CeBs9aJakoWO2ItSD8iKovWwlfL+LFeaLPLE8uarHN5Kb5J0s5njmH+zv
Wkd8LZjo3WZc2amKWp1bDiPL/g8v2OlWdnDgBcYPyVZ9ta1q/O3kHxETl2oEis6cfUnce4Pg8XEV
RTeJUd2WIBhQ9dxQA3v2NhVcYzftSdJP4I7liqMt5dcM0CzDT4ZKBv8AXPJIwUuohuimW1HKHAgv
HWxlafYQAX/Vy+MM2Fo4sJKbSmS/Mxnf5SuX2dfKfPBk1Lzx/WLzWknO48p0LhLozuawgp7TAhVi
a7DPHgKeaAa47fgMt8d+i2AD/HQz0NGd2Ton2t8y+I2Apd0VMY3p1oJHUBA+WgHUWRbjcsvSTUBB
OI6cPnlgauU+AjqYf0nIC+TWAPjrFXW9ZNCcvCqXxdFHm4RR0nnTa8+St1UVnLAtcfPkGDuyPBWw
63fOytVejGD6AWwV5iY++gPBFGc/AXA/OrXkIptwkkVmn3cDxMYjZ0jYhZCbUODBtEVXqmfVCebq
tI8LEI65sJJnvTLDB9HRBrFyxH1HB8e4KKiTBbYAODQy+z2/gyAFBYp8UF322vzhkxMeiumZLR/j
ikV009YIssO64fpu0hzwWj9jYVDn3Gl7UiuKAxmtQHvYcdz5Hdd5CnTVkv1Q9Tn7A1FvZ3jqEnQG
aPXCGN1t2eY8gXllsmAveqT/qufJ4lept11Q9gNzE2Yyc1TZL3OFLYRUuvepQK4dGXWCuLBLpjWd
i8ULVOSxEgJ7XQU1DBMMDrKsZjUbMW1vY8ro5j6PLlRrMvS1KqgsyYdEmKE64RQDqLOS6KLLiLFu
Ptm7vk5eu9J3SFgwyirkMp9R+HD/6eCRezl+r2LkvS2nfAM0obxNctply3HwQnSCZZdOMuGalHrc
zenhuiS+9HgLIov6jNr6Wvoh48DQVr8TLAVEu/0UhBfE5MaILOR/8j/nCiznlyjq/I1Zri7gR4no
EZsj2GoO2lfuKt3FSWV/MmcXZUm6rf2SwVBbw3+YzFz62gR1xJfMSDLufyo7KuaeR9MmgeMMurmp
7Ko9tikVrejIJpZMDItOsOwXL7MOPGH2Mxy08toZWUINqUeIt0T7SAKM9ORWNl2WX2ohsQgcKZWq
NiTM39pmTVEm/qOoiJeSvs1eXPDBJ8jJxY1HSrZHhpSnaMyuse3Sc/lf34XFf3YVxrDgC8szA0HG
5p/FzzGrRISHxj8wf2l30sHwoeMBPb2RmBgZyXP/tYspfordqso3OmeuFyaJMh7A5cwfrkfkZVc4
khQeBb/WSh53PtF0qCSi2ri3tkDdYMJXfxROLP2y3vgTAuFcu/45lTVAvpYborH987r+Twvy/x8x
O20efj6cf6/HP3fdu/7PxPi//+TfbdbOXzTICgR5l4qsAOX7f4rx3l9sbMJCF8GNL2j7/g8x3vwL
yCLmZ8xUguStzQ/93WYt7L98VCR+EhGJmQEkzv8NMf5fO7xQ4KXleKbrmgJV3uZX+Ecpvqu6wNW9
HA4q64IfY6/n+4p5mMLpk+oPI1g4R6OPqL99W/5t0sFy/2Qp/tHeTak5UpDFosILd//k+//xb+5b
qqonOQwH1+mjfaptqd5h1jKzTwfLKTe9Ave/TblwvxbEh5fd5NS4oX2vsHvaE0bTPZiFssS21Xbx
FgEOwdlJ4djGseaYk5UGaWK2KuIyU0ZtfxzFiqiEr2d0+Pg6JlKq9ucPSjE2djfrirGx7b2VENre
51oEL6WZlckOOufwMAObU2He4W5MsY2n2BQilW0HS/SvleOlewqlYKGVJYtdneK8RA1d4HQs1Qeh
723SUQS31FYdtlHNdU5bNzyB2QN2OO8nEd/mYEcGvXilspjYYeChMyZ2o2djKNKMYhyjPjFCnLYM
Kr4Z2ucHE3t7RGz41IkJPXVMrn7Se/thAmCMiSDfGlb1kqb4yjn4sGuMRJGARUGXFI9ziajOCHQN
M/25ldrOPQdbwL6gzIRtxiG1SPygbuS+UsgXxhq4dBXVCHoS76S+iRAHDuFhNrWkKDaYh5njFHsI
rQPTUOBV2FsPrqvbbSuXgv+pxhQSteP9qPvmhvxWd1oirTn2tz2dHX0J04WqKcx1BEbiFkrJmHpc
DXCy0JrcHToZ9ydhttbeSW15ctDz14bXhstA38PMb9ODTVMK55hpoRurEke03n5PQT1lzmUObpYS
jlAT6zwsowaiDZIIHI8VF6eqMpwvZQ3xsXfwoXBDNO6YcFJLgHngcV6KNg8ramnDmNaCjHU0SnBo
ZabNbuUnZRxi/nOCkJwakdvRdtp3WIx5TTOOzedO/6b3FveOfwuFy/ognld+4RdhHoDVkZukSMae
sXl+Y06YwkO07fQuE0Fz6ojmxaZjnEtbKe6iZf2z5OzEe51pnM7m0iXLTssxpd+daZYLhLx2XYaw
bn0taURfe9Tlym2tUTgEt1GQ8/mypupsKvPa0kLWQjoBBZD4P0pp6CY0SscMG7daxE4aFqHJhXng
raltBhdtMw8PwujmvRMnc3yOY4U1ADu299Z2PiazCGzmXePZdbJtwIY+zqNvntZ4QYXRJC6JqtXi
lFtQAyBg+vGReKrzVGuN6csn5zDzZq6AXOokRtQCV1HzWNbDSxA3RPkw9sMQdCex1jg7etz5Emvz
eR4767tuFOF6u7Recjtp+kNXWs5v7BJRsKe6c2Ygsc5BYPrM0njkPjnuQZ8Rz20pwGLwJaBbMzvJ
Mb4XtAf2XNN6DDQ0+ikTfAD/2FsZp95jj0ORKg/KwhgfGczl5y83zj/aMrlhWnNQpuHs+xmOXDmI
4jgkgX3vOihRjQODDWl1rWjNb4IuzTeLtTIssC2FaHvdMVPNXeUu7bXJzC+S0rS21SgRUVfERzPz
1G3leRiWkF333lxisy+9FKnV6A4TlIYLNlqx68ap/lhcPexnAD535pzRJEZ6dbyJ2nz6XZYRpKB0
FOklSHwUwQwlh2N/BQuEO6G0PjzM3edC9EwUsJNPUCKIXbRWZ4cWNZjud1PPa9WCV8/0M1RGyXNp
cPKMd1BPMA8wNH6mgtLbI4T2D4ENA2STpGQrcFEO56VfvpXdsH4AcHJIDoIzDsgJ3zJtwK2Yc5cM
JiPeMbTDRdcl5dUw6Z3YSruHPV6P0SOVYjnWdQM9d4OPAWNRTHi4M8r+rh3BsuwSKIubKe3me18P
yXZmVkkXvD15fLNQx1gt4g8fvEdoVNI/IofwwqRnbqnU5N2YhHj2izq5ABgiRjABPQBPwIF7RJSO
oKji6T72hSi3dSnPEJ+8WyXc5Ny78je7U3oHPk0dCt3ExH/5pnCztvNpqyJoqju9LHC00pbZUshw
W3+lBmBFxqLavPFcat8heOH92CWa+m8M8QOkvmR4TOc4/9mlJDQLz/a/zcTqD/h6JihdPDAHSYp0
OCpFSGA3DIN/R+a+fEGvnbfDZOkjV6/qqyf7hKjcRB8znHjnR9uULLPdUiVdWHcANshVwMAPFacD
HCSYu3fQQBYIL4u9zXrzQ8FJoIWUxstCWMPFS4Nw0tWrASu1XDuNBAhFrkYUGgyQb7DX96SAHOX7
DJWbtHsaiUGvrvHMufNaD5zz7CJdF8PYXGe/eohs0kSMJnTYqtK4Fh0VcpMBtikHVZL6zt4EUQV3
eCXpNjGAyfhUwt7ajVwNLxmoRCZ9AwXxacxLSG6DwfxqvOlzZn0nLuVxVDDFfEqXINnS2wK7GRbM
Jo1hdwlRUEFUTNz6tDz4A+aVKBYIfAnjtDqZqKSS8QtzknjXdCNfgGhkeQbltxnB7dC3bizJYzkp
yBFZujfGiGuHa+27uRc3CeW5YWFw+TcNL/2aYu5cUT90t0XrM1g1LLGpp4kehRbKWsxQ5qA83I98
QuOOs6C9bfETkCFanqOCABJtv2uhIG9s0VTRLVUY1Du36nmUifGEJKGPXUCXFkcN5tSu7hgYIdqy
AvlUwinA5rl2dyb1f6HEzXCEMUNtbxZcSQbw+JbCuZ/43HFJQp8TepicA92I6S6fvPjArXDe2LYm
0N7i5rlwXGjfUn/9UBM8eXuYqe3Vxfqwy6yuBZlaReMbkPji0esW88J8IP/dTqh/BlvOCSV8/JlR
XRL2YqqZlEmzBhkOAC2MPTP6bSZLf3Tl7BPFKQSdQZkZHYzBl6jGqZVcYyNg58zjwTzjFARjJjL7
PSDmczOYYrrHZZojz6gqSHm/Mf/GQUmYfqCH8RyLnrqYwJIX0x+sJ1iS0XfRAizBXu6XB2Imac7C
ZEWnrDPlOeatNrFcZsEuRqsmLDK16QZAwUBUizHmoYQi9WIz4d040qFOkGRCsE1EEX8RtDEH4GmB
V/MhVOWV9L/xJOgrPqYMYC/ZlC2HypyHV0d2VHE1c0U/M8cHWhYrlP+2xxLcmWYOgDmxl6c8m+fv
PnNLHlMiM48a8Dqj3FrhT0tdmDdlxMCfo/0+i/L2xZ9r8y5CVz8nJJhxkoDuZfMjPLDhexC/pk7j
hGVpFhc5GdPTMJbOcajS4cEISGZ3wqV/tK39WziV1oXmee/V4NK5beKmfrWd6ESNpty4XXyn/cxl
LBkjIzSGHFy+Zw6tPmlCFIcVz2I8s6T0ctsLgUOtMZ+SaaXkK522XsPNYtPjAi4Qtl2+TLmMyrso
8JJDUFB+LYZqdRHPhD47AyVb8RtUfmU92+4w5BsGiPA9otGNd4shMuvKFsH+Rpn3MLOAgbsoW1BW
BWlEAngVzY52BaPIpaqqp9di6xXBe0YX5s4QFmUe9KgexECpTkPD3heHFnr8XNWlFFgXCDX9NFeH
Uo76pJqhRTwQy6MRtJw25VRRfMxf4hum2GWEInayrGNGRXZ8rSct7sYWTfu9tsXUPED6aYofhjvG
XthhWoy4iXDB25KpyUbkID1FW0cMUPu8HiTVxkWiOUh6rR9LZ4yfJmWlvxcc8AdsrAB1l9GJDz22
zgdUbOutrwPnqZ9GwXRci+C1X2KqYLKU8HpcGsnXNLrZ2XAd+71xBC4Ur0mZy4zKnR5NDqjf2iaw
FI81xssynZrHWVusFQucEQ5srcWqJrsmpiQsZ8nWrd3/dPm43/PIc56la7r6yYeS0N1FdePYuyUD
K7CzWogzcQnplbwUs0ufgXgfBmXMFI6s2ZyelMWXMOwJHGWc21vNzGR2LTrseHqdOfOtsGY/vNRW
Frib3G4UmF0vIV1qEIFpDOX9d/bOZMlxY83Sr1IvgDLAMW9JApyCMU8ZG1jkEJgBhzvmp6+Pqm4z
VV6VVN3r2siuriyTESThw3/O+Q7tYtKnDKzFSnTs2sH+Vq1Ttm8sBG4ZiuET4GtNP67sHpXrPOQG
mGZCwjupg+DcLyk5Jr6HV1nE/Cz8bPpIm7A4ermbvxbraLxbsnWDyAsX5xsNq/Np7KclpgmivROr
7T2kBKFpjEzn5OAUVdTh/Dlyos5uYE9Mh04PQON4Cz9HPx0BtxnevZNJFROS2Vt969/lfrGceo/i
dDL4xWPjGM4lpBDuj6QKXZFUwJLXDTpESL8CcduqVbHi+MkFL8DHkGY/AYPPD8QmEsjXnapZrQUN
ndobwy/K5fxtNtR5jPKX7sZJZK8qCIe3qeDJqYymfyuqNN0ls2dfGqosTjnNrQ8kRb5SJzOZy/Xh
Y8dx9h6NteN0lctfDnAedlBsAI0uvecVf/dpTU0zovtvei0tu9hoqvNudeIW9+2q7GhRnW6i2pL9
zZw4ODYoBjh6aZ09jAwAdrbMIczBE5P3A3fS790inIeMjGa8rKjlOmjV3Yi3+kjE4G0w57zdzYGg
6zbHYRHNLYxvNS0iRhFewSNVZFbnwdyWlc0ZiDrf95FGV1J3TDEqrwzfUdqSj4Q8xB6EsT6yrY6P
MEHoduQsdtv06RqtOukvA9Cyp55THtGyimbJFUL/iXYVeUk0X/lRs977KJofea6aKFn7/HMBNuZu
aGLA28sk8oIVviCcvPB0oXaaOwo16S8K2VOCyR2vLZqkIMgKUvxVXBq6wV6rwNUnF+Hp1Wj5XunM
q7kJ4oQIJL1YdWZb9z4Ew1Pi03BroL494zUTl8yomy9nmmF/QF0WgO+L/tas2fM2S5PYPwMkeaxS
qlZnM9VhgTGQeLHBFw0LczUa1qbvS2o7urJPd63hyLd+ll3IvWu2nkp3kc++EvqTES2zFf8PBDhW
s+YdEFfyOfUmimaYsr6cNV0R9yur3+v6B0C8+AMmThuMo+KipB0g7bF4bNwht7+PXuO9tqJesVn7
7ec8IaeLxPTfWo8hjVv37U3KSQ3dmrWDH6iAqdOAys9H33kMDVZvy1Nw1N1Rg7fW42Utx/5zYBh/
tq6sdC2CJNJtXh2WwYakfmWqk06wNi2D53flm3lMWM94dKvShZaDScrytz1LfLulzqT52RKyn28B
KWfuwfBINruwSZfNMKXWK+w1mO6ynPOv0XSCGOj3EtG5jMSUrBO20pb45lvJHXKXQvE9aD8Ha88v
n3Im+IMbLzLt1FiyR3WzmGP2TYS59ewzGKam0lr5GQzdPi7tVY400rR5deruS/9Bpe/8pflcIQ9/
oXJkx8w1WIZwoO+yumt37mgQRoduX6YMtjBVbQZ/odvAXXY9W/N26nuqe694fA5jr8Th2tOi9BO2
O7FPh9w4pwU4/TAFrA9a2t0ZHkVfg0w4pQePPdbNOwhx9Y2JdGcAaLpy+uekPLqoGeeJZOoxnxe+
DnR1uKe1VgNla5l93abquGxBiYWM79mqNE+asZ7nYQkuebpkO4Yeam+Fifkd1Tn9LoGvYFWju4o/
X3VnLzPdy8gNKvYqu38sFv9+WTNrz95MfiYxsBGgBBDmNtxpXxkhTGqGUneuMO+uM6FvJq2uAPLk
ZNkYWJrijpMdDlGT9eqC6Osx7dLu1aRCtB5kCRdPIAOrw/wNd489Z9UramvlbcJJeQ8cDSpnW2Zl
cieKHCf+5OtD72TetiBusbOv7vwgWXguqySEDwx9Ke7JFYLhHFp1dhSzxK0ziOStS0cRayX1t2Kx
zQs8fiLRtEqzgDuj+2CjQ146Xm3b0qt8n1mmfTGlgW4EqcI/D6RNDnZLa6TIF33GJyrPuZMHkDII
ujc4dtKdQLx+J6vV3zFc0z2+Ac2RJsB7F3WjsUyb1UFTT53lR0gSYoerzN4COzR/GuS2jiMBvCeP
lWnj+QM0pU6u5IXWoIzTYkhj5ZrrHRFB7FoCyX1jFXVwmctePqzGjNw3YHjYZ4bdHLx2Wgl/Vf5J
urJ4oeWMVXBudce8EVOKZHhl4RCS0N5cU7x62eIQDjNHzlyQMGzNZta3lFH4EMLs0qKlUhgvQT8C
BFoAVlD4DlbRlNkcFXM1P/iJIB6/BMaxrzx5MloTY4/RdB9mzgHESNt8p2uk0TXUB67rBFXq7m4E
axarEruERdZq2fCvLsVvoMqr2Z9iu2I7xXRZyGW7QA+OHDvjGW9Hxg1egKdzKDtlsfGgA1tVqF9p
dbBeg4k2VkJDiFNMriBkjV6RR34FGx9CXi6fS+p5MI+7eiaNTJ6uiQ2qK9vzSGkhI1nZknyvGX5Q
RFGmxltTOPoUmNQ9kPtiOLDNsmJ8JOqsckJ4Xv6U+Tg4OM8ASNgQ/cUiWXT58FX49bpfh8n7KMXq
PQZz2FqxDxGqi4oC7kPs0iTLJKTLQiocKyzA+DAC+1ETJChRu3PE8DII5dvg2MX30TCXlVqbyXSO
85WufFoZ9T/nztq8d3Yy7Y2i6e5mYGYp8eROP4CrJsMtCCzdS4SnR3t0CCSW/TfXymHQBrqkdygM
P4zWzmKYmICjbN8+6UDUr4W+UvoaUBnx4GUCbIpVMUjpj7wLK0k7OdM2qv2AIG7YPvX9OO+QuNdn
xpfuKeiEf28vHiOGYqKVOAU+j027s4OfTA08d5s2goidqZAOjHnGK234kzowQ+7WrUrb+T0PPDYI
RqjLpa8dP7rq6NIfsOY3XvhcEje9SSnZckpPlTtBP8klEewEB2AXWJZysFnfUeZ1u82WmbDj3AIQ
2zB1dh+IKdqEWKelCklALNQP9DaT2t3YBk25s0G6xmwj4r5ywv7BXsT6xuB8eiBU0ICptK4+JUfv
ey3tFxu6xx3UMSfKA2My4zYXC+XVbnEHO3rhXj4F3kcvy4yorlede8Ma75Uhyo4RpJU55y6YUV0s
q+KfWQBgY8k5ZW173xjfF6I/jP85XMeZOxfYKfP5bg4V4BXfKUMYK7wRD22hVgPyokh/JlYGCjF3
LOspTa4cwrw266ciJxpHbS0X6NBbXbZT7W6BkHKRmmvbvUVw1o9wUc1HMdnYJQ23KWCe5923lbKb
W28t8PSMXeBdTIwPjHEaXTQHvFDWi5eF4kwWE6Rs3eVQx/TA/BP4A7S+YjGSH3lZr58y5OGJCABz
9xzN7tpnsVIB6i0217hVjdUb37Zx3DZVzk7A1HO+06ad/JiM/rrA8RDBrajefN8WR9vq1wu10f6J
wB1Fs12tz6ztbEA6NPHYDyrbhS073yRpUPGMXD7Al/ZPM/ndG2fqx+NqZ8OXHhyigXxtu80UhB3t
S/08//KKpN6pathxh6iKbe/1zYGyWv/ksm7vRr+tnhyIlydDUPK0lsvwE7uWLbcrvpa9rMzmgKF0
bnYQVbtPS5o6i9LBbx+5IjH9Blr0Uo528ACysALg5/tPq1D8Q7EO6XTs3tP+iuSATIHcQTLHOPWl
OUUD7+ET4M7+BztQHWywsofPxmrZybaplcijVmf3gEz0IzA9vHkrawtmu8GBgmz2/X1t+9VZWvwh
K4HzCwzWv/fmhmmCudQEChirXTfkUVyCQes48bmVUFo3VY8w7Urq6MNCSNK17foA4J1PhMMNPVG5
94C41Rwr08oecSvLLcYIdzuOHVcNp1X4dTG3rhme3pqUyYk/ltKt2RnfZwuQJv/6niVjGVm4vj65
Mge3g7+u98tc/+wsd1eXA0HFrKVJqAiXiwco4imf7AnTlw9qKQufllyLqPSqa5KW0eWx1yYYTHua
QSQKYgXQITlXeD4Pz3JtCal4rklC6Ckeub6i0AxMOAywAMeeY/uHjx/0PjFNi7yGPatHhwM9N4HK
hRwVUCW4GedZnvLRtekEDVMNJ39WN6irP1pVihLnjnbvMjIrl4nUx8PMOOOj8QPH3ZR0wOC5GpBv
soFv02SmB1ZVSEJ5E4C6ZaZALl18SUzAtGibHbRDq9VGvmXsTmq5dKel3rocEc6D4TdvdsqWldUh
R5aMCWdpiYnCAdQWAFKWfEVP7Y817y9Ykr49zBkeMdM37SgAL9ruTdt12E3TGdGq7+sPz06AaSXr
EFXeEnwBRtVngolgc9juv5nwDxVJ4SowtqU5Qk1MXA6yfoFuZa8DNxj8Q9NZU921FzUuxAA1h3Gv
dD+l6zT4Y6hFPCYGuFWHGUmOsatcL/3sssiFfidxWersyW3QfCCDT8+5Pzs/22mZv+ccW5+7eRjU
xoOvxfpPCuPGC4ug3awUxn10JfrlhlWBQgbWPG54NXc8MussxuMQ+OgwZW+z0ZR9dpkM0/xe2ZQU
R5NM8BOrhY1raULvmNCocuaXMla+6mreZtKGkOVCwwADDC5aaeI/O5mKRlK1Ui1vXVAKdJssjIWQ
7PlNl0Et9Mw22baJMJJd7+frZcgTVu9+EuWJLKA+pbOubbLMi/+DbqmcWZ6J4ge/omW3wlCdgMIJ
F4rgMedikO9tssNFxi5Gs65H2sAj0tbdhPPMy1ASm8JxpDp3W3uO9VKNCh1FNCWFgj6hnz4xjCND
9hrCjNLX/2PioYPykIsXNFu7AnQqoInXjev+JLTe3EoU1Ac2L84uFdvl5mqn1EcCUFa5w1I+vzNv
pj63LIzn9Hq7qgOiSUMazv3WQR/E/WqWuzmvzEsQjuJn6ZCn6Rn3xUZS0m7mkLlNYpyo8NsZDp/X
2rROED3mW6CiVOJY1yF5nbUgr6DjBoFn8WSN9C0X04NjMBmFSM3tWr8TJVMn7F6wW6k8jXqaJXfT
0o2/LLITl4HjxC190qxfK+Xjvm82N1jaCY6M/C/qOvDK06BnvpvQOG81DPkL3DURtb0J0IDwOUBO
KMfvGfGPBzWOzU1L9TEyumVEjkgw4WEs+lHJkXIdGaibGhvYHeXThdrKfMp3VEquP2gHwbJHYysW
v5Z+m4FitwkHtvu/GMZf/6NaDJwr8Ar/e2/Q2y/d/9vmFxTG6s8xXQK01z/3n86g0Px3OCPkc00f
xuGfezECUIqCtC2dGNYfzRiYyP5PTFdc2YwslaHpu6FgZeE//V9nkPXvroPVKPBNn7iC7/w/OYN+
D+l6nPBD4YW2Kyzfh0r8X51BvgMFqEKe36tsKOPOLEJc0PiboQEGDKyX45/enr+Ix1kQLP9LRIzX
41AoqPTgHQEv+VuBMPVeiR2aIbNRunj2qSiL67yxexitRkbzwsyrTlZ0MMbmJj7MZUR+KTJ3YNqU
VGTXhM3JhpbN3T/8XNdo2p99StefSwC6dExXUGDi/+aQut5wKdMCaMB0/aNv+DmsiQG9v7oH0Tun
kFK2fcvAMaa5aN5ly8WFBHn6+x/id8/g9WcgNoiJTHh4tNzffgaupV4yE2/YS6bze5Se5BRwZnn+
+1f5i0/c4VflIGnjkwZa99snzpvMYl8Ee7t1D245vQV4mw4TlmRyS3r6hzf2L34n12bGwifuklL/
/fulhLIwdAbhPiSIGM8BLMpioPjq73+nf4GI0n3NEwGVFBmCEexv3yqRkDkiPezv3QyYWFcy9Giq
4XGs8x9//0J/8eaFFoY2Crp9F6vfby/kGivv6PXrm+RMgGqj+MKeg0pHQyjJvNv/jxfzbGirtuOa
rvnbi82D08KJc/x9azvYGEAZE6Rh+6pXDFtz4R3+/uXE9Vn/7RnAuIjjymFFwJv621qQW4Gz4kv1
91RYYUkdaZWd/MR8rAC2Qz7Kyp1kYBpnnDQOa0tMhcam5DvTOiqdG/Qkxr9qbzf1uLNLj3JE08VR
6NkBqTqX83YvZC13QdbgfaLUgP2vZm/fUPkNpr29WqNlv6KSuMSOwJR5D6qu1cPf/47WXzznFK16
IBMY2v7r93Giz5IYbO7v0yYTx8I1guMyutRPje6LsTSUpCX62Kj0y7czyU5cimdYdsE/vNV/9X0N
WbnJafqkia4G1D+7IlUB7h5sXbivMMYfZwd3ienR/wyH6x8smP/6SiHlQ9xXyf+4vNe/vVImOc4g
R9A6nuREnwaweWBxP4Cqiugf3lrvX4gPGF9NYVL1hEhCk+Yf//1PxIeutmzDF5rKXk5mUTka+RUd
M99zR5pJ3/BFEF3/zG2GmMzQI3f05Ei2HF4lUNEW2mhIYnBPoPyqCg2u9wQ+z/10mQgckB76amt3
w/IU6t65YQbUnssMZGOjaC3eSGso5rgKQhfJlXJqs/bxo9PBfZCZ4zG9RwA2Ot3tlOrIXrsKRko3
mJVFGyxZhv3UC3pda4sy+axw7xrXmrEyZdqL0nEW3MiD/C4x6+ITW0F9dHA5RGYVroeFNDrKZOcf
y67333N7de4mwS++ajxFRoL87YbKY54nkgspVKgqvR1V5PIY6+dqi2cCNg5em2dHKEmTfCM/g9QM
NjBo6YzLlo67d3uFZjbjEjcQvQ652RdPhim7u8CsA0Q7tHNwYzOy4TzZ3TvMheSCQyp5zcKVsEXd
BT/AbnI2T0z7W2kUb00liNmXhHrPRa/uwP3Zt35NbMfMD7ZjkF4YLRvFbkzFI95ecmx25gVn07H1
3QqcH5mj8/a6U+WeX0dug5HbED0xjFzXdqhOY5tD/2KVWm5CJti47UpEGxwhyeAzv+/yfdVN4y+O
TLwnTIJuMqIxm5YKSCxOCRVRRN8GpF5Hv1m4zV5dJ6CYpnalRnxRZvjK8WuhjwqIFZ6u2jkOA36M
qcONqTzXuelGr75G8Uhy5JDCUOGJMgPwI0VIEqNy2mFXjkF+EGmo4ibg8xZ65O0bDU3DDcwmKj5B
E23M0cojR7rut0yK5Uwg1vmGA9Hkmk5a6Y4oF+yLYITozr3dpF2BxYMYhnIWhZRN/u4VyaGvXm0b
O+1omsWPzoXcs/ETl298iFftqWL2ikkwm2SUccQ51VptsXH5X2uKJraBNsJw2aRastgHQgL8KMph
uRFl3Z1Wr/faXQ7zhEeIJosMkXcvwHGIDetB/d2z3TGkqRUrFDSI7qgoGIHnVJLpAyF48VaDAVrh
pOG+RWZShN/rehc0yW05zOmBYTFVfwxv+HmzCesAQ0Os0dsaU1y4oaJrvRGTiofR6k74hK6FgE39
ZDfE3VAi4xmz1rMwwzlCUu5jzc92mIw2jcOuDw+Ba9Z8vjNdqt7M96NC2AtJhQ9e7LeIb8yu/LO9
dL9wonRRPijIrJR9foRJiIhATK87GhbmYs8oxLYUI3QQi2z43sA/S96dgk5iZSVTpgbHzrwgoTWK
cZbjpnhF4e+YKi1uC7J5wGxV8rO0V+JMZTGBqi4oTKv4iJ8S3zYPRU5mb1roZTNIUjocRdWPEeHy
QYR6OYSTUUNuGoKog3YV02iCs5BuLMK0ZL+JaZ8TMRXRfG2SV0MBEE6eKGsKEFGDjpDOOsHz0WkA
vTl5wXjEkFZZ6R0hQHHGNxt+Mpi2X8Tq9hEivu1uaJoYrjaS5CBMtz1kdU+7o8tc2w2M9JSX0Kg9
yeGYEXN2TuX4TtQLLaE1me+7KJvTMJAXTtbm0le4cbfSIcHVkuoBiQxmAdgTw0hnKBDgaw7esDNv
YY9l0UjY9Amqsb5Q/pt/n3NWXBNbDngp4lxdV873emynY8FM4l0yZ9oMFLm+eJ2DoV8txq5ZfCyH
YfE+eCGQOl3PW+J9FOcyCKvqR6xQ1ENntUdo0sZpDHshXQkNVEMAxcf2pl/0TPWMMCQTSp41w3pH
nbYvTqUvEwwbRJQi3c4TtBDhLNYNXawkGr0gq2JV+Vz4q3aKWyckFGP1XChwH5PxUuMjJrsmj5Xj
a4A4zEiKxviaiX/Wk+8+c0ha90OH5I7s8Dp5eK0sy3OjiTD9xWn6B5mrG7tgUu9bBrNZVvA9qKNP
q8Xyhnd7tlXJApS2m84BFa9p887y1YlmQbrMHib7tpuG5JHEWR2BqMc3FjgXp8ULEF5LxOmenwlB
D91HEiY0t1ANv/WW9R5lLYDlggF642H5eW98NDGrSpcY30NpY4hEkN46jQFApV0a+cK5DARDk9sH
evzgFOUTDSgsNrcM7eXG6ozwKeP3/QYEdlS7cq4U74ZXezPLeYdf1aqG1t/hO03MyF1UOUZeyzsC
zGn17yu3If6bsni9jZnS34WBwo9BPFTDMUUkCWKvqZst0IavBef1Js2vdgt/+ERXbo/8dQAdglnH
hQOinBBNB1a3emTt35ksPrc8hN1+LfCKCjssv9Fv0J3wSTO8H9YVUfBqJK3SLM5zXIyWF/AYT+pM
Idh8h6H4dRRUd6WhAedsIu3CJn8PyyKINfaIEn3XwlCZeBPf3FLTXOI73ZPwzCcCYrAGZGFsgMma
B6htxWletHOou2E4DlSascoPDa50qjf2YydQ1tsKfDaQwihRdFtPEvfp0tfifpBVvmvMrPnWBo6O
OscFLrCQDFasFrMO2y82JAbJjMEPq2eOL0D9SIiQ25t+qWqlGLc1m3pXKA2Rg7J4zozuEhtG0FIL
19bHKddfrRDtaZ4S68m2wi7GqnCfq7E8LatLVUtoM2azLGN8Hcsy/XLXUkUZn81dx5z26LtdEhtN
qB5XeCCgcpOfKuyGW6sx0rjKcSqSt8bSTvC+PMwj1bJTgQN5oEcbK5f50K1OsNV2JmJaReZ4TVyH
0b+TNqcCfM82mIUZWzaAEqyca9zOeXl2KKKqNn09EPlDS6b0jVKYHwLW0TlpRNnHDYH4KPSKap80
oXV0GM5TNeWdS2d4X9TcXuZ2voWko39CGh4o3bIleIGK2qVA3A42zYJhovWnrQGs1GY3Hmt32Zet
8Uq4Bp/+sOKZxWjbnNqkLqJMwllNB69+mSGW3JJEYHbNJniYZXpqllq9ODIDy46tfteFo/rZNdPK
zs2hgHFqm28ZuU07KViby9ZLb33oBg/WCFoU5dKDJAy6ZwOLnICfO4z3jMnf5AKhvjWGm0yMFczr
KQJ0TXyoLyVle/NOtQhim5HMLe4rrKZIsxod5yLg2fCaef7Awd6lzr1IdpByrnF+OxDY2ptXXRh5
LP0mGks6RL38MExWf0SfRstDicNN4GMYxhrC3jc7hz53cX4bpCZDrP3wCuLFAy65kdIITmFL8kjY
OR6E6nmcyQR04LN2XKHo6E3lnqN8GQUpDmovKyjsRq/e27z+RtXuj75zk3e/9sihA+A2gSDgGVwP
+G9ell6D7x7xxRnDa1CI8T4bgeKM6lvYG+zRmfEDStmrsMsLlVZP6cgOldfWHSr9r7T8paZg3GNu
HOhBSp9prMo2dSfxHfg3uWtdDEHdVeUP+qZSxo3iG4RHNSz3yWQjocx+EafY/NmlMJzKcW97Xf22
2j8ZxVVxIDqylVNRb6sO0tjgLgYfoM6fh5bMb6+bF7UGr15HnLTrPgEIfMyte5NRZuwItz9rbFDb
oVLIunX2kokQqkz9PAXFt0Z0R8TbCrJjc2t7xPVNQTLDkyO6G9o5KVYajQXwj53jMr/IOkFwaequ
rKHHgqfqiNzxnbHD0ZuWnRF07gZrKzL3OFILmCUHzxLjHR0h7t0iff2LVo+QoZl7xDpTn8IcWNAI
MXNfT8l33PxczLnuP/cdztzrJZ9HFjj/D4gYMq41ZRFJ7cYqNKvTUlb4BJMpux6lPILhNtaWDO4a
+ZCm2AUWboKwaS7CQdHQzcxZRSYhl/sJl3nKFUHDq+BWb3CG4RcuBKGcmUz5JoD3TWCOz5t7a7uZ
DP8p8NI7x57yrSfUx0jpqO455zcep8+6xOrmJqz5MuVAb4eP2Wpf7CJ565fmtsb8s2lmPvfUkCbC
ZaWOWbZKNv3mxewpplUjUay5kECYSISTMJDQ4L/7hvPmVUBzVsWevUjNh6bKVynsAQD1WL/ODEM3
i0tqXuEKOziQRCPShhBROl185uMA5N/JyDEyEDn5zVXB8oGMddDpMLyrjwY5Yu94Hr8pHcBUV453
rtUtlIHZ+HvtavjywSjcoUxyuqPbO15whsTE7nuI0Oal4c4SF9x/TlNzJUoQGnSFuqdBHsKpDLp3
EsMuzPpk2DNieeqGtCUSR6xmBAzE8fBOdwYWStaOyAkT79KGgmBjMXNvzjHV365QCCFbz2VsYpPk
9K/e7BLLxQByOxY5NOCUJsqtP3nzszDAqvoN6cxJ4T+ggLT9MfNLnXzlVztv5iMV1iAPIjOGPfut
eSu77JpoL5sT6J5mWQsaanFqmktXRSkC/qWEl/qqrdZ7DWb3VzJbwPIIbO+zyjbfiLj1h8YqjCcp
R/UdXnx6D/7BuxCRocmDtpk9qP1xP9cgyifsOODAdR05jHFoEoMoYHYw2LB2Ejnk3Kf9F/MamhzS
3o5N8N4UDjDj21a2xtM+ZHI46roCsWdW35aOoyL+1fJHkmZNlHcWDQuKo1B/tTuFmMeYVReclQqT
NEPXuOh3nneSql++DbB0uTB5UcXjG+OrHo7XTuJoKq4sszqd73PUY06LpTz5fjbuyF49ZAyitmPN
Jw7nIzyI0bXimVlKuSmmgdZenV+cWaljQVtfE05zHPKgc5fC7kk4ZcQErjhXIhhfwmnggNtUGQQl
a8L/kGRHuY4KH53w9nXVUzNal0s00DqwX10xguCZglMShAkzlxatNec0zwXsadLC/igbTN2QK3+C
bZnerTJFaV6rSzdnNMdBCeE6rh5DmsPwPiqwhLkx6Ngq1Xg2TP0CiOiNl9WnRoXHzAMCQUNki/Nt
ofw6YeQmyFxoPiiV3QrTYDbU4DuP6sFkFlQbFlPH3NumQcPXp21lDJEwgXtbCOdtSNGr+QrKt7Fg
m07QcDdBA6YBJZ+71VJ4zQOziuZFGlMIbCKTn6DT7MecJqF70XV2lC1cDbG65eq+FOF3ys/CR+Zx
8DBoEcKQJVsiQSvmDGg2DJgG/6bUjbrBGFpGXjhjnZvx8Mgu8UhHtAC/8M5uMZ03G9u38tOS4aoB
vN76m8AiHFs068ekoXmm9HK/Z63Ckl4UigmH9x0lteBwEC5bBII0Qr6Vd5WdtJS0LfkN8iTEoNAu
jnz9Hij6ktZGNWl3mNH/btKxIT7ctvmZEHNebQw8qeu5gqLuYzywx4elMJ2fYzF14mRgJdmPE2Gz
re2t/jtBapPGismf3UgNWf5FokH5W1suhbzJ0n6h9YOw4LYyQdpFgTH3zs4pFZUOnjtEeAu56a39
+mwKqmTkWLE7LqWzQzV5KryBNTNU5Y86gRiMz3/eBfOcRmbj6W2ppfuSlM257Gl6qC11Ai3i0k3K
3sGzWq2XRtUkjoC38Vv4q8Ybh/i9QehtX3kh9VIDiXkvr2un1da3UFvKuGikf+NmoRUTs6IqoQj6
5ptspX3qwXhEq0O0cee0XXKw3GR8mbplfSqTsXvOS9u5mPDdo8lwoMk3Bvhwo2DKritZHSwZzoqX
zgfY+slKR+ZisSZe80HUi1b0IK0QzbepPxlRjknS2TiZUWyrnsR756fM0peuTHYlcHE8p8NAj7PX
6QrBepKfGNaFe/1Mymef9ed2qIPhF21cBsQkLpP7gbc6uGH/zso4F+oxcTWrV/kIx7fehyNsD/fK
YpGhmdJWNdw7KZYWJjnjViejtyHgcMvAnVQ40H49Jiy86AgxHlqU/5JcrQ/p+VpqtB3gw2ApJD45
l9diDrpqLi5epk3Z6Ve/ywsAlqVNVWwtvU+Pq9QhHLFWKIVPcgL+j1bWD49cKROe/7rY10SWo7mT
/FR99j4t7H7CHebIsEpzz+jj56qJ8FGivW7adXodluzQTT2uGxhpmzBIzHstQLbYYWCCuTBKcpz4
RJu+qbZLVnYAanOiQ80QYc88JQ7p6i3fFvpomApHTHWGiw929/vc+hQn10VdW5zBF38PLHMEU2RK
oCVwKPe+D9uGxcsMfmJ+CPckfOUb4w/50ACWfExBGL8HYVDc8c5zL2Z0F1uj8u84y03X4HMQ1zx9
O3MUv/qMXpNwteY7d6V6eUM2LvnODJYTPvNyeW7slDC0w5pnbkbt+35MksygnzPtAA2Ubdj3X1TB
WnNENnY16XSZkR3hAmJX0LYMX9hLB6D3YMywQi4D12CqqNV67MNFkvKtTSTVoCcM1vr1pXfL4qX0
RlBlWdDd6NSbdiB1UVyS3PhYYC/N2OCiKmv524dJP7qTdPbgCcw7xiI+f7WG9J5qJnquj1UrDjnL
hngXOlHdUfoR1ZkwNyg9MAsU1brSGe+SqtpRKQ/yzC4ibkDJVir5Nazqpenn8IWaAmAnOiUdj+9L
w8i11ve6md9WTfOQ05ciJkGxMzT1cYHs02275PkpbZkJIegc0yo3XvVk5DQWXDFzY0e0K1tzOHew
8erMATTAratL3eIQALyMNbx3Bi+Zso+cYGlhAgnmrbHZsytuWh2A83UpLm+2KuhBRJEzvrZ2Y53a
oKoYt622lzY2jZo5DhON7AnDqnvm0NceReG1EXZ7+eSN1I+BjYeGu5G1RqVm4OElFAOJ/l7bBFtZ
wGzv2Uxld1BlyiVScVtp/4O9M9uNG9u27K8cnId6o0FuNptE1blARTBahXrZlvVChNWw73t+fQ3a
zjxS2CnfBC4KqIsCEplw2jIj2O291ppzTFf3jGqPyUmFaKGOwzq262pR+rQ11V5a93yvCbNpCiqh
BO/ySZ865FBULAnaMR9DDVlc+tMoSja9GFfg3TkZnAw6i8VHe5xflkgAaSHHuqe/GFaMxKzHpriB
qwXKOKVf8hmFlLxvxkAemEjl5/h/5Q2DT7mzhK5/VE0QAK5lztQeXzF6NLVJ7XzpRjufLT5pBu9n
alTubTWknWbRtGtNIpAWIJcyWAOaoT2jy9I/ojJWiQiMipdYZrgJGqdOL3HkI3uuMMRPi9Ix4icc
hiopwMhqVSYjtyGZZr4bB0rNupNbD6M05CXC8uRrIiePjqnvX7ZDbqDT0VHb1q2fHiPTmfYFAdao
b3uHNkSiUDChPa2IbcDldevg9CoweBvasUZmte2rpksxIAXWVax6dCPssvavSIyntws/XBAP8Umt
neYlz0T+iSGS9zn10/yLwrO/UmrOfMTpjLEYSXMLFWr67I3gmoiqmSMaiDr5IirFOtIFNh6SeqyX
XUHkOWxHNIE1W3hSDuQq4xbZF4oBnouE3BWhzsOLmOx+qdC3WWbAhhc1Gm3woeSHfFIQL+30QR3P
q753vkTomZaqrMn6Ge1wb9FmBvyvNMW6yCvvONFk4QHIk/KLnTXeHuSnxaZ6ItgqZgOIJC6tg7Xf
mXcsXtlzl7X5Fd4cdcOwQUFDZla4yEI2QVqsPIS0exDiI6Ogd6OirQWusenIVr9Ax4HQjdd+udIR
mV0xLiMefvDpd5khad2LTKTF7Vj3ZEfEY4LvaTRpQhpgMs9F0yc7ox/t3czd2Icot57Ip2IwmMMm
KJeRBuOWCMAwuaudXlVdTPD5OS8Mu3AJ77OuRDFW+YYyeRDLTpRU0Tj4IxBphMCwz7akeNSiqr+m
Yd1fqapX3poIbJ/Nsk3OM0KHYBd41gtgY/vcI8nw4BtSUZZC6/QXE0vCM5LL3oAukLdfMqQn91FV
1XKR6LKyyF6eJZRjbxgeEj/d2nKrwh1nQHpXmyV5TnZuwkoxYCfeKFVjfPJlmj5lfvVJc+iKZjU7
km7EKYr3z9cwPpjlTLPux2MK8wOkOL3Tlv0U1n1J633a1g1tPdPp6nRNGcBJbouODYZiFZO6j4LS
SN2g0ZAKYjUNL8ahMTEMMXXlHeFn9lr3g+YMO0EF5JV+xbqfSm6dNOvSZClsFhuCdxhEF7hdz7vS
gBDBLSEuwJDSsJMN2WCmJf1jC94hdv2qvgfDU0RuSijErkur/CbgQtlrw66NjzUDwnGlAmR9Ymtk
dAuyysbHCL0vzZWkkGDAZKqzkULROa65m6N6g5957gyiJLSW0smsB4xEFjYstvxnvqcDyWvmlc2x
+o0/KXTtFWyge1+OX6uKQC8mx0DMKK15Ttgj8Q0YJmjCwlzDkksfe2COA60lmZKnyu89WpaQ6AJr
RCqiaQeTxLmOtcCorI0ONypw8W4OYhGaUBFBgtIw0ZquAx02Glq2Kvw5trLVZI5TJAhpndVa9OjV
RrKT8NDEMvEbVXMlCuZVmnjlI0pQwiQHQ2P5Z3QznsWxksyRa9b9VDJ1YIhB8ZZC3I+3VRLrT1FC
pv1YGRkF7jRqm7FLs40edxYJA4BaUCTnDPPsbNf7LYMyyTDtynJoZzKDbFlNaq9+nKJCY4snlOoz
7tcUjAO7CSL8XvROc6DcG84+Qm111U86sTt87Xq2i1Xn49iCnS1DavwxXhsW1AyFad+G2iYPXKrm
4qW0O6DtThIBK7HNy4S570b45QzqTnUCx4ls20bEmHdr5vbBOquNo5mr440C0eIRRCOIpkw9YG3O
n1pTjz7qMkjU7dTnDs1fo7yHfICq0s+1i6TIlRtfEb8TYszyh7eSF0ioqKBYuAUufmOWT7xSLASx
KuH5lvZc0zM8pWK+khZKy6QpQtZttqqXnaZEH8E2spS+L5gwfhYTcXDbYgoKlAvhzYm+ZxIKlA9n
sDej5TeXjlVU266qmSKojO1Rl6sgDgKWVlKRuqd+Ykmp2jZdF108QyDrx7jAXmETVLdMChUvfMaA
KUNSv+7ZxjNvFtoVcXA6bZnUAsjKijptK8vI970RoYyu0aXiRV8AdwUYilIrWbZ9jIker23BWk82
GGY1sYEsqIAb1mzXmrlPbdUa7FDMu6GlODD7UbuCOvsYZZClFNk121LhhR/lIKoWFGNIpQaQGO+f
OvGzjBAsmurATdMF3UF5ImJLuZU4fQa7dTSU1A3qlWEMY46vb9xlGpKlfkSboUMaYEbUEoBbt+Pa
AeFbcDNB+xCuF/oOsuSgy+xFm1qryEGLrWJwWOaDQgZyS72bxGyA9SjaAkCUvxHmzILQ01vPMRlo
GYS6omewZ+Xcq1svZC0pOqdyNmpVRJQ48MaTJdF6wdmkNDfa0Flux+K8hB8Y7IHtt89MvNpdpc5q
PRpupkbWnqh7jIgZuo33T/DPsr05+9uyuS/JJjZPRYIkFyiWBpB0znfiHTrovnPAf1795jAzFe+n
k+AYKB55BHi1ayfXkWgKxai9wtkw/hxjlm+pbHsIYu4wJNZXQQHPOzImDVsjQgbAinUTsgkdYL2W
IOsa4VxifYqRzfCwFDC6LzHWQ+KJvQkZdajeFU1cf3r/1Gin54b3taqZpop0EvgHL463Fw6480RD
gnuPZBpeCkBxzaVUaQ4C58DERhnyyYkvczXMARXMSIRUqMugS4L9aIxwUapwfDIjZzh8+1z/1WjG
8/Cxyuv8pflfb8KRvsEFH3O2SgT/Nf/x/xDAkYfH4fXw1yLt/TFN23/8j2Na/M9/nB1rNGHVa7H2
j5//kalkfUCYrBtcVo3VADfAnxhH/QPKTjrtcJL4jzUr6f7IVDI/aDrPMopaNhjiW9xSnbdN8K9/
6uID2Bfe7YZm6EhTCUH6GxhHQjzfPC8MdAzKHAZRJy+LTLS+1pICtElpuKK+IUIFZgecBshK3UWB
MzFn5OnhideUPpgArxjxCutBeTaiBtvlvl+uqfPMCysbApdqU2K6ZsKJUyldKY0HEalQfC1ftxjg
XHarzOg9vV6UeTPuUsHqkdRYYYcZVy1JGVjVpRps87QqLzWwQ5+xR5LmJPNgk2r0C3oSXM+wXzg7
UhehSM9g7DQLqj15GMZCaE54tFHFAZsSmGe8b1ztekZs2xEo3XjGbndjlyzybyzufsZy598I3VAm
7cMETASz2Izw9uVsn8c4Je6aGfHdjCXbqhKjCdsmWxwKMShrz849ov6MJ5a9iRExowr2jRT8+by1
X3qCtkc+48UTM2YGi47jrIy6wh3qjJTcuEPBMzX6Vpsh5bEMxrs2hn90VsN10pfOd6w5Oe4p+oPU
pHFp0KwUSct8t/fOTPBuX+GfddRaheIC09FAH2Ffcmpw6nmUxZ8lrrHPfui0W9UAuy5husulagbZ
HgAGSZVESjRoY8PqsdVbb6+3miU2WNpjFTN7be56BV8zsW+hcqcopDSf0+kk7WpqE+eFRJ1pmwwT
1X+YKNUZhvHiqBRhbILY7ZylkpJ4GqqJ6tLq5m8Ji6DAHq9XzaomXodSURco0yzNnTBtucH8J3VL
jGQSh624wUScvpQ9V8EVlV58ikMDARw+x8L/SLoLu2lYeSXCBSpkgi1UFL3YaG3/ct6R7Jy0DK5M
kYqlVlRzR6bIe8BZSoW+oGyD8crzPapXlElMr8pCXFV8xCNCz5aUGIiVyIpKhuBSIZoYuQujLyIO
Ba/glOkfc6A13jTvZSwsPlOdAohcdVrgkIvErRKsPDriN9KqvSNAXdwOpofg32QGRTBLaNKPJyuS
jVGpZQeoo4TkkmpyjdIiIV/CgdSzRkYQLQUIpJvQSNBVgBZaDh4kL4Qu7PPNXINZQMJiQ8HQTzUE
PDtp221EcfVE+Md4nBi3foQKapsgOTT9RSXYgUfaNxnDdFNa9wj5bPbdegjhdEHbu+nOUzYsupuA
nLZJUxZ0HvGJGlt6c9iehIINkJD3iUBZg0B3AuOjgfqpDNqATp9dmbcM8yFo6YWSErbALBqoEWmN
AJdBqjzjb8p3eGEpUJp0wpZW+pnMyM/0zL02Sr+mhnKYkgzDo1AJfEGSZD6SlJlsVfKxbgZgZIeh
9WN30krjipNCLIZmF8OnQYn8I5LzcJfiod4VI8TPSrTMVRKrcS4lTfBbgrhTvutE9Tzzq7lOg5c0
JM1TELgIhULieC2nLVY9YTpzf4aMIVFgoe0K57kSRIu4Q6M0n4ChB1/pWfRffS/q1lbpjRcIPnoi
TGej62imVxFgs2YeWNEsoII1HpRqxKfdMOjJFumk5gdciKrbQ3p64C9Jt1Gg0o+ONGPZGw5DsVmm
kRUW4dMgVm34cquws5NDM+rmg234MqJlTYeSDjQc1gY33KrAckqzsiBBVIs1WC2dMM1daus5/E8C
ZF0b5HOIoU94hyiSwxZDuw0wEInWaihs7wCqMaEhoKjAvspK1sWKs6MeabsitNPbdKXWtXOTT8k1
kDEw43hIF51hZ2tGiyPkIBONsYUi9CwtEMr4hhE+5iIw9i1E8ZXatSol75DsukgPVybdFbKT8ngr
QsV0EzPoV2aJ3ZZHvVrRrtcXGVGTbtmAL7X8wfiS+DVcnjAwqo3ZU9TT5QkvsBFM56lqaRAklIoB
l9e5al7RaeY9fwUZg3TkKreHZQdYYWP1gXHFjDC+02oleNYkXHSaaMjNWmxUGPmGaIthCkFLhtQz
M3xlT/CGuTXwBufLBO1O6RZ9Gp37Ztrj9tX76Ss4uXobxWl4AyCLqNGhucbJ4yBEj3hmFyjjxRfW
bQfqEgIw+l2jdT2B7aQ975MLXjpqurebeswuiSYcyMfIg5coiv0bwPnenSgGqKLkjTlf/b4mJKGu
jAvNF9WxT1PrMzDZyh3UiQBjBJNbg0B7iVRCU9aZJWkLh0x9rtNBl+hUJouSeuoPXaUYF1YZSNJ/
Is2DwgpHclL9fucg+1mjs9N3jdJhEja1pllLJUpuTAZHyGw9kgHhDJEnS1QI81TZTUeFiQh9W7Cw
0GLjHAoOftZDEKKWJLNWofFsG4fJTrsvovajNYrslo5ZykDKSQHL+KFNXGroefFS04yM9D29uABk
R5bx5JTiWafTe4EueFjF9YhFVLUR5ZWtXT96E5IObcrEGhCksp/sqX1OCZ1ZgwDobivENwyMDCjH
Oqkze3oG8VGEyJSpg4R/6ceBSr8zqcJ1aZr60q8sHZE3Nd6CyUR7JntNY4xN0JujqO2m0COyfI2c
N53Cz+xCzScrrfSGq4jW7gYJX7SvLbvkbBLI7PXAh+jAC8AQo7fFFlvf9GZF/p3tybs6cmY1Uk8U
SYpwla5peGbDWw0Q5e3qTmHMzjSSRzuy5MFhXf36f3cb/2ZXT2Dnj/rBPTbHN7+A2goq9ZpZ4njz
DCGi+WNfOv/J/+xv/uM/ZaPUcB2zW/7rHfrhGNfB8al/fi7e7My//9yPnbnxQcMSCVMRyqiNJ4ot
cI/98l//lIIcVI1dOZU0ZkZkQ3/uzDXtA/4abGG6ZHGZ67U/bZT2B0x2GvZLduxS0L5y/s7O/CT2
D/8kIB4MlKpmgXNXtbkieV3NM0XymDJl5DD2qK3SesNSnhz8tHqgz8IiI1U3tvpsETFx9Gx8upBp
P5HrqB7yurvX++hLW1QXVjXNKaVdu23K5opWKfEOlha6ecvMqyzQZVVmct/YvKoQtN33NHcdVHRU
qux6WnjusCiWSM4vX12Nq+/9sNehhm8bVd++HK4wjZKXcTu1zMmXQ3QSNNCdDVThkauZ7Tr2XrKq
uFKt33VFTo9kzKU17FIHFAwFmDOD7F81RXyl0mRHMp+LKIjZY4ZqQkFGi2Cr8N33v9QM13/bezDm
tyxtXIwQ/Eec9P5YX/sUmgPidKt7lF4pmb9kn1GTMRlHdOp1YB4Tq4tdtbQKV3ZtvcTo2y2kXwY0
qvtmO7XFxgjlF/7UXZal54opJrxu1b2v9Ge5JY9kKRtmQc6zlX+tAA4tC53iDDf6YTR83nUk0TIN
UtkBtPVOx260pL0/rBio9W7gjUerm76UZfigl5KdUqyav2tCzVfuTf+TQtYxVVNYFqAgTZwkNnom
AqRRZ3iY2/YmIFdFS6EPF0HD+Igopfy+SC0WkY6oTChgoccoo0ufEpbn9y/GtwO9/SBSwyWq01zB
nGp/8+29uvBIcUCZ+MRdoJqgiC1LNkiKvLf9miVUSx6TFtlwxA4jSc6qdrrLzfG68yK5YSebLFJH
XOstQeTkVw1muWEHdpwi/yEdtfWUmDe/+bBzY/b1h5190ryEDKTgqAN4hby9S7OIOWrcDOQGqIzG
TABrUu3vjE69LRXrnErtDiXVDp7ldsKSE5bqJyVAQdIaJAVTflcT0ZIa0wp4ZssJpVZgWXd9URmL
9z/nT2ZrPqcD3gLTC4+SyZvu7ec0/RJcVCgVF13QbYGHas2+hDDzfoDB1Z4xHSBLOKKDCNUTnFo1
PXTldIvgedUCNHn/w5xGUJx8ltNmt4poKYGv5rlehq0IjWbsaADs9YVhiw0mmN8c7ts76eQaYQbm
bkIxRRtTPbmzJdRFeyLc1tWbCXmmjz7Cbiq3TXvuCuOW0aVY20zuQTEpAO1n4DpIsp2hBg9yJAgo
wsu18vuU2aWT3XstdI/aWadRfYeeIz4jOpZ2uecMxDiG106qtm6Dd17RpwP7RWMbIYtYkPRQIjwV
i5HqBJVHe4aFmW1iZiJTNMpDUiKx99jmIN+p4cvZIAZzk3IZxGy0EJWvrxp9unr/Qrx9xdI+4qZg
5oB3WcPHTBP97U0BhC6p84YLQaMDTZS/jooLHNpohs7fP9A31/XbS0CvjJYYe0gOpJsny4ZJ5oXI
PJ5pPZKoJuJnXJUERKG6WGKjhhJbB5+job81ShQs7XgD/+qLh9iazbf3UGF5ycya0SFpF+o8D6PF
01Qo/5PN+5/T+PnWfPs5T5prKlBiXxSo+tB2HUatX9exjJYEg9x7LNALyfDHDYouJEssQAE0ZOcV
VHBS3eAoTUxxAd8pF5ZRK6thKPUtm9HunAkang3Rx1vyfryNX1oGhj2kxW1vkBxRNhf4pTo46i1j
v6YbEHMXKJgdDowHhEbLNEJRKQ2xUHrmZMzhcDSKpqXuyT8PTXT0ZvfBAFnsYTTbT+gFLJfZQfeS
0iagcPaRGbSlf5ZZ+bSOgRu+f85+vonY7ZgGux6WaXqfJ6OruHHYbuiZ4/qmd9EgqzVxKYQ6w55C
rN8/1LcZwMltNO85kNYwNtcYlry9YYdILdtazx23E5O+b9vpM1HU+llRjf4nQncNmOnlwsrG89p/
8SUijpzZ5AKHa7Xom7xyGZxaXBSzuoJ685sP97YfOz9MEn/+N/AAzkMGiW8/WxJ1WmqSOu1GKUp5
f42W7GwqP/7mDJzuVDgKciVeYpJjaEKenIFKxH7bWYlPqwZd1DA3B+BzuPCRNlMY5C7xkDe9XxTH
pDQ/Rv14bSKipVWGosRAIFdOMxShCrOVrIcrmkDBAXQ9DiZPGr/ZUPzqk1oAIyCaEL0Bzu/t+Wio
igGRIrizrZy3SkgfN0oZAxLx7NMiAnwp10gwzmySU98/Sezk367J0mYXA5JBgqKWFIVvj0wiazPl
mF3dtJCfvF7yiqHKc5BZZeIGQC8w4fI3h9R+dUxsFcIyQB/ygju5Lk46MlyOTULTS2+DywdEVVgM
+8KQuovx7JCn7WMQdx/LwABGbh3FJIKlp3xtGMIsAyXPL+whg9uok0Qjl2F09/4pMX7apwAjZn/H
BleS48LO/e05GZRSI9WvUdwatwbNiI1nemsv4nEBoE0GSTwlZwY3UT8I8gvJupisB/i+w7qxvC9V
OUGhsgxYfd1LFATrdED038GxU+LwqrfiTUH+H/o54geL/NFivV1JiKEdPZddzm9PuEv3EURvbEm1
C+qpXMdm/Tym6l07Gl+02ndprKy7CnWB7/WrbrZLvn8G5CnuQdrComyRbHJ5dqBbvD0DWRg2VBuB
dOtO3onUvKYtscVKr+BvGhLSaJtqBRX2HMkEnki0e0luzsSupF41fn3TVP2NUQHiRDtkL8PYWA6i
YoGXDF1T9V6SMOumDn1awLQHv26ahTPy8i7Jhqp6nMowWA8IgHuXFsqR6GEYi7592+nOF02E5xpo
cliiuwqUcxfhWuhhrKMbnJ5Q6BTY5cuLqg3djg8KaeMySYbDEEWHGJoxIHDz2DWNq+i6j9y/3zSN
dZ4r8aakBlkNTizRViB1NDL694NernLyVhjbQ6Nr0sEdtXhYBxAK9MFC16Fqe7B6j33lX+bJvZyc
Vdg8/+ZScKbfvMVtJvUU6ZLSbh6wnbwZWgu7ncS24+oCO/7WlNsu35YEAeU/tn4/GhlX3/9SOhvE
kP05sDz55X/c5Sn//HcZcSJxmAuiv26gXLVPvEmeq2p83T/58WM/AuqYRKJhM2jhmczraIf82T8x
AUoBm0Lmoc1L7Pw7PyabGuNQUuvmPDsTOpGANfUHhkpTgVfZ6Bf+iK77W5PN03XD4hVl04SBSURc
BDrtt8+pWTjQ2Yq2XDEL+eIhe6yh6i58mJbLZNbtxuWcIurIQ5Hpj6/O1I+75a+bGxLv1dtDn+z+
yJYAA6/W5QoRaouRGU4t0NltEXtf+xLW3/tH+0m5Mq/iGhwW3aRZYIhvEJ5XhW5EohvFFjm+XUSy
s196zZLEE4aNtojXY13cq34UbbjS5Qozir1yZEceSqHCjLXa+1lZuzAm/1OUxldjI8/NaMBKnpiL
RoU1XXp45KFJY22LzjQd+fz7n56O2+ljLNjx2TN2jHuFG+rkMRZVWksLXd3KjCE+sjlC6503CsLl
zhiZJE8mPSiAeFOsD1dOG4W3hgdeYyhJuxE2Vp+2vI8nKK6RrSKjBf2hGxuRx18J9kDZnoZ4XJjM
Dj1/VqQ9c5S5pYwIH4YqDpClPZY7vxTqnYIwdk6Xq7bEebuEtuA/uCYYBZJhuOrM4MZABO6P/dea
t2XcwzAggm7wumZJDMw1M9abIhkpPZ6Q1zEOHhYPQzhMGzky5Wz0VJ7nlUMRppH24NiYvin4MupU
C+ENWQ3ugBTXqDR9I8gPubNi9TpTCM9KHI6sl11yEKAzj1HaQG9yInJsgqY6E1FCcCGxM3LBYlW5
sArDy7GS9AeTvtyqMvbXBD8Mrql4zt5gfHywbWSNhhPVVz0pVfSka5JjwEc86KqQNLDD/NJmiod7
t/BbnJLWwxB7zsrsA/G1MKfuuWgbdd9pZyRD9Be9OkGAVm3gq6RXEftkiWlPLMS0UK1paXSZhhNc
Fk9hGD2Ffg6OAfAWI86yRwCoXSt1US3yMcBtlRARFOxLZk+kmgIc4dKY9Vht5zyQJRAlNEqpF7lJ
Wpfnms0S1OZ3GPKz76KXv0yYFLyA3iwrkEKM+RGm9yuFJU+beFDstbLAj7NqkwRSCmbmHBNW2QRz
mgwOZbaL+l0YiuEwBa3yEHi4L5G3lt0C7HB+sKX+cRDdcuo84PZtaz8PmT3e6rGabGoTQIXFmP4m
gMD+uS5bLCWDp758e6b+q5er/3a6nZl4SCX+14vabRjHYfp6QfvxIz8WNPuDA/IN2eZ3Pc5cFX0f
CNj2h3keQM+Hasme//8fVEWbGQL/w8FWioKLZfDP5QzgIlsTodLgNmZ+FYvgHwORNzsO/zn/xZpy
omuj62bofCoKIHpvtD/Mk32npwcqxBIhtkYXMP2qCDeCSH9uoDXZy6GX2Lsn5OsEVqz6wh8+hn0M
akDLnEWpNoGrOagFUtHZj1FQay6ydHmToeTf5UrRnCPxCH6zLL2tZH7+vKfrrzJaTWiP2taBJ7RF
3YzhEdYGZbXnqoVKOc0o9Jw2l/eb5gs7vzdP8M+HPll/CzKG8Ajp4xarEbh+ehvkqEM4mcohBxOm
5O7kJERVaFW6QLN+OXQ4J63SSQmacFhHCrPajlOGeVDp00U+e91kFVxCgOOlXXD2LH2YzZQ+6v52
XGLQy2l1Zuq2RrhRIO6pkvAjRl4TPQRxQ/TiEru7j0nwI9y87MurPEjzTYCRgo276mMCBecbJ7Cf
k0Kke1yD+bnZOuF5hdbpS9D2jQsNJj+EWgLIPp3AcRQNrkci63BD85LaKA1gEYbb5BT1mvrR6PNh
J4nD2iQEECy8wQ/XkWwfowrS2cLJiZ8tQlPdBJkSrXm9EQHnl+GqIrcPZ3D00bS8y3bsr8uoqHYA
HPtEuTfqzDlrElLRxsj5XKOV3ZhOcVaNhuqOgSUO0eSfp2kK58GnWLUxMy+IbEF1DPSgs+WxSQEy
dD3FkHCiPfEQykJ04+WAN2ddQ/VftfRul0qgN/uiG+iCth6aWmb+uTfp66FSt5D17xJj2HvT6GEV
KNyOpq9Q8HRF5d7SPJNMWbUkM8YYQB6TuRlOotvkMHBWoi9K3PwA4qiw8xVfLFjUIYmyZmWpD72P
KcXyewi7zMBHKEjhNaZnfc9TQ/Ree+aNDpskW3Rr0iLuhk7prvGIN0yvMHcWVrumIitwGSl3+F/7
FSZxh4kP1wQnXHDptLRdO5BdB5JC2OZE2qq2LW9nZ5a6wfHl7Qy0N0tbICEqc2ZuVPbmEl3KXKkR
5qYMJXNyf6XgS1x2QQoGvkKwExA5Fjbczbi0lTVzOhDatoMSB57XGXky2JRCIPRql341ZHbXwGSu
ZmdoWZLVEth3quq4tYU/Df1R4Zo9blmilbcYMftlXOpymUl0M4mwZ5sDUfPYudvOgfDJ1cTM7IGq
+UT4XLys9NFeBCaKE+gDkasgP1p6ScSOpmQXJ+1oUyb9DcJ89UwhgW+BCbF3h4SI9Lxo5NlIPPNt
pGuKC6dvM/TGLbICIiJt/JfpGNDXb6MLC+rLAr2hcBt0kssmUik5FbFReuQhQkGbayGhEAN6q9Qh
wjDelal9E9qMfspxuGuG8MwswmXTBBddqRVbTDRuLztABp+mpLyUpVYjuW1vgqCwP4oyDtf05laZ
2h7jkNBTy6/Oq1i4Y5rdITxZicFZl0H6yAh/1Ux0zhKpdctSoK6udeOCsLVgo6HQC6PyOuydPVPI
y0H6+wgazXlqlYS1eCPJpz6oQrwT8GW+MkozOe+ZejvU47pmF3ij1Crd/JBxClru4bFjB4iVuLIA
tgy6cwySkF/ztXYICNA0JI4xIpRsddq8RbLGDcG4MWhp3pakqVRFmO1ETAIPHWIfx2BMmIQnPII1
0dTMLdFtQm7RLAYEQ2CoH1M2OUvefv3ZqPbtXYVjdT0hz4H4pqibPtDqLfOXEAZYJtWDJgd1B+Wn
uim9tL3qW73YhjlMbg8XzjaJyPjtiC9YNkmlHlBQXRbjuK+EPq5MK74bs6jZx17D+hAbOHenYFUV
RHEmo48zfXbt0s2uLkRpt0hCvMDFK0s0CGnY4OvYzs+03Z0vZxasgtcMDh15KSoRNE5em/hBlb30
Jt53kQEjzUZ+D0DFRWeLfaFnHKBo+Yv0s62KwmED9FIsFcBG29oJv+gKHAQj9K5lqIO2J0J3jS4I
umQ3RzcrkbZLiyi7gIty82pr8osVn03Fq33ot1WMqkiYGsLh2ZR+0hDXFANyd1xrW5IeoJun1jaN
kOGGgXn2/oG0t029n490srVg7pgF+O31bYfnZ2t4zrM21d0iUQWpVrH11RI4GgYTfZEzv3kLaEbu
+x9Bf7vp/v4R6BXQ8ZwlGY486SvaedZHWT1pW95WkGSY6CoUoVCb7URKV6mYOILMiG+bqWi2OJzL
C7IbB+C1jnqmRl555vQNhUSd31t0Ja+pzkjXDqq5SYxk8sLE4LmNNTV0o46AZGyU2VYMQ71CHcFL
MFP3VanaW1n4LwipaF9REC3TKr3mcygrv0mO73/fX13b11/3pOaNjASdZWxqW8WsvRtksTqmDBSv
6Jmm5fuHejtX+XFmpYoDjH/hDZp//1V3AOa0lzbxoG3DVr4AOygxShoPOs0QtzKL+/cP9pNohSuI
VuvfR5sHY6+OpoRe2kGeEFsz7HAdmvpnPQ3aXdT7T1pYIX+z4uaqDXAu2I2A3KQQqSziAuYlhqVz
J0LLypUkNrbZJFY5rKO6bebYBgRbA9V2GHIJiZQgFq+JTFeMeXalRkFGqhqooISccldAL8HarhyG
eVNSztsTKH2/eWTezve+nVR2/JD5JMoCvu58O7/6moA4Ma+xjmyt0vSXGNbxLOuEJaSOpVyFnUKe
Zgs08jeX8lcP6pvDnuypBVmQlZojJFMMk0ejMp9kTABeX3lQAStVAS02XJBXUV0RyZOvZN/Ev3lQ
f/kReCkhv9JAFBjOyYNKYMpQk/KgbfWQIJSaJTE0a3ITLAzUDeDapLAuTZuYvEi3Hnjrl78Zj/3i
dnZeH//kyWl7p0YE7UMZS9oHyJvDRUNYITQgixtb8X/TDJgrhX+3mL9fZ8tWIZurmkDUcvJtgz7E
Ypvb6tbU6+ig9eicQ3IeV+8/Nb94G3A+/32Uk+9U66re4buEBdgM2qLnCy7qzACFh0jo7x9p/ioq
tHaq1Z9eBoXTZtNk4Yj0+h7zvvaZyOHdnBDx/nF+eZu8PtDJe4D6o23opBmsJoV8DvvmMhLS2Dgt
OEXS1PTb2Af9CkqW7XE5b5RF0RS/UQv8omRG/IXfzLZVeozU7m+fUi8Y+hJUh75tYXNhAq26u0IY
2i4MB31b6MPHvHDwHHc+LBPMIVAegnIpS4hNMlWOpHDHK0yic05lXeMa89PPVqUnV1ooPkUV/un3
z9kcwHByswHiACUOCGv+xObJbUC6VuylhJ9u6budZaOJ2jWADYX+Wl1aynQ+ONawKlp129bBQAMT
HydFqLKGtcX23czwIiD9dasu27FN9VZRrjG6pKapFaKZKCJeiqL3d2o5a+J14wxdHNGfKdmKABhm
RlHYrIoJJ25DBP2iS54ZOGoLeJgpKrXOONR1/X2L8/8bVXdj8fyvfx6fUjLbw5rh62PzuusEbnOW
dfI2+ete1f+G9nl8DI7JP66q49NzHfz6L/jeuXLkh7l77tBsYsOIMItb/XvnytEYxdBUx0x22rpy
Phi8x/nTAr+wIQXP6A+PmbA+MOPEpMlfhziWJujfaV19s7i9urNn+xtaVpPhhM7DaCLLe/sgln5a
jKEIul0Vhn5EeGIdX8oaFALEkrYhqxi0VLSFv1RAMyoqYoOI125LYFwQ9RXbgPKmiWpH8JppnWtq
jNuqo7cO0p0V4AvaDapznzC6aqWklb+fICasM7MS6qrqVd2/yE0zDVk0x+ILaD7i23ItRJM5ZZoP
15lOgb3iBSIBwfjGWmskBRcYx5U69oLMadv4P8Sdx5Lkypmlnwht0GIbEQiZITIj9QZWWQJauwMO
PH1/yGbbXF6jDYer4YI0I+2ysiLD3X9xzne+mhnIZ4h4Bku9Bhmq2JCv5c/reQzGxwBQfLpXdTfM
a1Ppk7lvFZvxrpwBBGpDNfg3y2zpReymKdGgO0YMJcKyHwk2woSTt2TTkoI5NoDmAcqnK4tN8J8k
1WtC0mM/IP6LhOcnkHx2sQuiMn5v7cKUO5+40J+Wq4kbDJMIdiJgh7WfNfTVVmcPP8gPVAfHd5A/
AVhKP2zN7UE1k01JpI+uP0L67TCkmO7BMGBtIDW2QYuSJuuuLGOMngWmrHdjBP+zIuwpEitTr9M9
01CZ4eToQGITtl06YdN71tnEpXcGLqSdrLIg72G20/lipaU07mZXWzRx9tTGW0oxK3gbRNUeppZB
ZFgENJ7rGb5Ju5uUAfxqBeMAxX3b945+9ZfPhdTR2UIqlxUeYwtcg8g+RNcBiHcbAPe9lYf9NCwf
VnLAQ4k9Bvw/bEhhn1gOtns/98vpaihVEfWHPNW4YvKLh5XmMenIRkDweIGZ7xAU/SRS/U82tVNY
5bm5BliH1RFIATwcFmFda5jMpXqUpFM0g3X1wIRaqbOaZltsgWXjiokd1CrAr0d7YwXSuw+BOjCb
MZq1t6xgtAJfjZ1F9z7z4ws5ym8mXgNKyOqh4/sBlM35ZZTloSLFdFRxtSPYk9TpPiDwsCIE1JpF
dY5NC4buEmkM1k07uGrIsWHgPkG35O9KGzBVUDdH6bYg1zQbgyKO6znyz3QJFGs2BQZ8DtSCCXNj
Yi2SX/bQFzvfrsq3VDjVZbByZy8XSFwc1LwdQQIpEwPLNfcbj/RnWT955ORdukr1azt3iL/Gv8iS
LdHBjhfqDsOfekzk8WGSSDpaz+uOjZuADAgQ1HgKULFdZ19EtFv3Fp/VNq7iYY1oLtq6UUHDXY2E
exJ2sRogf6aGkOe2cOd2FSU64aMI1J6LpLkNTbcb8MOMYFVJHO2yRFyjpOjXOJAEedCptXFKXJmO
uRvaDoPKQDQeYWK6p92rqvktZXrLRwOoXmTkCIWFWFdZD4lLcMpiX5OLw8hYkV9fvdtG0HAZWahy
+f5PPKIOYGOSTHYGUHgQP7P+u8tgPHR1c2pcD0DyCKlWD5jLdbn641XiJEumcu2o8ZtvrBKrZD5r
4ERA3hXgjOPIQVBjMZq2UuFt0cf3D1mieSu4VgC/zFqtR89jJTg587vGz71FUjqHSWG3O9am49lP
cozhZHnec6e+u0QDHguHqDSgq8PWHDsv9G1lhyxSq8cOTGIICCdmflnOFzjB0ma8pZw9DkeL8QZJ
4Rs3o1tfQ1WNNxPSUvILInN6TTNB2BmJrZcgwLbm5l4eYpta+Lzdn6a1rI0uscYoN7K2iTEGoTBs
AKz5UN4AErpkPfTmURVW/lU3VbWFXanxl2cyfLMF6cPFQCvON4GbUIB8DJ2p9d9GTDy/sLqN6b8p
u9xvHdf/KfJ5ncjBIZzGoUE2F3LHUpf9pZkDrd4muPGSg2/2g9igwy9dcq/r6dpXpfUy1mTyNWSC
55vRQvi2qqiwnsmCnBiYF8YvGVPAPkz1aBhhLgBiaCb94KpbfvuwswyeqRH8VrNOvIiYYFOmwEEr
JEQHBzLfeFU2hk6MwxDretfKnyaC3wi5ywN3cE5NOvtnIA05OBSo8XbbkAyhQyplBGqK/gvYlwa3
NXHfFrvUeqjyyYJZozkEZDIAHVeR547ngOSnwzh6005yv5/mWCPYJMHXCi1K7R3lBUdURuPKN+GU
WQUuhTiIsD1mGrQuZlxQQogNho5GyyeoQ7CEO9nWU7xbwgekXdsz9N+R6dDed7FAlqvBGIcCsItJ
ka98fdh3Oi7JByA26A86l8xOOWi/fc+bjv0C7SvieonOtXXtKc9d/InEKF/LqbfgnSXxvR2nkKE3
vMKUWYFRzXLJSjTqaxmUAEuk5l8d4TpvldZYG0ijhOICWyZXqOpRCU7UtToGBAulVOL4QLSdzyqb
ToCwf9SCPPCkQRvd6/alIaV46AiKxxNeG4mBD3zusJBn/VOi5+CKaz446o11JXWCZevRxs9MosYP
o3VMiDyMpKQ3wKCu0LjJ9JJEJTQb3XJvQ5rsPYQLB54V8FrCLV47D0fEisFte5g9CfIeWPAAAojF
SFB21TugICzCZvOlxsSBimgHK2cOqr3Bd/PaMrG+p7Hz06tt9VQnnDyL0e+lF04Pz9RPeg30B3Tj
gy8Nm03gEAfVr2Kym/fCdmu58nMvoCEjMfzSzM1gcik7jnoLZmWgo8Yj+mMy3fxDRKU93zEymxU/
n4eJwg3i9sMA+3SBp2dd0qRyv8Ysgu7XDNIKY5YRX0OSk0ZYusMIZ0M4Ozx1KQRdD9dHmbl3QLvi
p0VkDOu3oLyblZJJ6MX5vHPYlMHJlg578aQ7y1oGwzoiseTTKf34SbeFfS4y7huso7zzcow3rs3i
zHU1/7nNGVHaqYUs0uNS4jlRAJZH7K3HFFeOyW+TjopYVC1/Gqt2BM7mN3hT9S6H6ZYXpSCqgoKj
D7nsGrSFGF5B/U9us1LdLFv4l1N8KUUc8HGaGc8+DtwQ63f7NNVZ+cbTYv+WtSv3lF5kS0wWelmr
afFb5plZchBktW8mLH5HWOy+CkdpVK+uk+XnfMqtS22Xw1OcBcG77C3jOS1tbdt2Ufw0a6gHVpbe
VXd+jPwZBz6/3TblaZrtQgenPw4nSF0OLGe/9x6SvBggEAatE7oR6HqzMz8mYimOiQeIfAV9Kfso
ROq9T9H4Z2ikpmPGHIa9oVdbkygrbiwnI+A8n9Qny50uYYVIagVTCb/80evJcDeawn6PlMeyivjj
CLRxD6ZrleIQ3SOctT7nHEkLj5L2wRo4e0qNKPjR9K16NkCAPWSuBYBRVbDBliqcoXOmD1jydaQv
6PdyuSX2yP0pXRuklyYFEDiAAyp0ZC55V+s0Hte2EtOn7ncaGpSmxD4cZVawwh6QnzQ7a8+29MaN
zgbwl152c8qZ6/03llCdWOHR1awTrIaYTsPU43dTjhOLkEaRaNVoXQeQlcfiw++68u6Mfn4YI3aT
NqbStU/8MvJXOyIIxgmoxIgjDXrS4stegsFAWrmpo5YkeIfI2E/hNRMZB/aYfE1ZzSKpjIrhTOqO
WLVkcpKannv9fPKpsXWEQTFwDa6XrTUKEGdg1+AEuPKYZCbUc7gx86voErMJDcHyxYmV9kIednIj
atv/qpUh7oNBC6WWryTNE7kbfAliDiHmD9D2PsEj+P2IIMdl3jAHsYyA/keVIxJOEWNMwQkJERvm
4bPQU+2K1Z/L3tMTwIeKaOY/Qtrka/elCVKt73XnMgepS7tQWMO5nSv5MSeWhUUaMOGWr3z7mxVU
fjBIIczXddrG75UCkoR7wIsPkn7jj5kuTogyLtoQfFllbFpCdEmzGPJh1WV5+2qw9IBbWBHwVWhE
AJN05I9hkPsTqEGNbCTG/DOU/C4LrpkfBU98PtVlFAZVp9t3H2U7GqEfWRXjbooXWGlp23yUohaI
iH0hO9TTqRMa8agOHfqonVVyA2wyxzGyNfgRvo9Zo+orG9r0SgRtDIzKImpgtNmXdBXDT3IBCtwW
hPUJc52kIIGxoIvgtahSNA9O7b0YzF++6GNgzmMnA77YVmjC+Cqk3aWb1GQQZhyo29SN73CN7rAW
2+dywKUXSlXVV1kAcL/h4kv2w2w6P4hZ8vifpkJc0thUh9bBm94os3+XrdX/UbHulxvYFf691lV5
n+0sfp3GgpcoH7zkwFojQZ7k+eT5oA/JtxTC2jmG4+5sJSndB4I8AFqkVvLSIcQ6AiEU3TEnHjdj
fsfUG8qBP4IATrqr5yv2RChPnty0VCs0fv0BMZ//AZpJ3TvKLbUxiG8/0Cq58dZQVnEAclB2W9FO
5WaWfDsRg021d22JkecAMTlZg8ybdno7Wj+gbXcH2er1BUCxWo2BBzWPWJeR9brdUIElfYfRK2g1
ddM6xBpp4Yw/PaC4v+KmgLksM7/sNqkcloqVe+IH7eywkrTw+GAdFyhGpZkMIJzRoyzKptd4zEhw
4yMOEKEHTUYvjSidzcyQU/62HOxpHbPI3MDFaA/ZLMWz7RSZsbEjXN8rnehCiLk4bIhHsduzr9lq
V7SEkktfqvemxkR2LbXS5TvcLfdmk+qThXGK+6gVSpQ3NhlUASDiIN+pFmwo2r56RgZIVTQ1CWEB
sB2gpS5ZcStkafHPuZutU4+sTw/9Vs2K6iHOUZF3fnfqM1j15IqzbD6OxaDFB58cHUgldj19NgFl
my4zUkraoP1Ncqd/0LWgenOcPHkNqkFOq8HUx92oL+B0wxY7F9LNYSK3ZD1rlfwD3W6iI7ZsBO1p
WUGBaHtCRyYj6rdCOdqOJ6kloG6ij9NpxuD+0ObHS2JKGXuAPgCAyBV8Qed5DgxA9CZNZBy4Rw+q
z3YqCiusyAS6D2rSLwXTmQ3BJ/WKKBaF7kZl9VPvBtHPesa5BFKxvRe6mniz+15uJSJS+kVhpU8z
Q6ltr5LizQ604QLqRD3XBJocaB17FJlarV9Tb/Q3QdVE577QnePAgX+eBKV/pxXTntVyup5SvBW1
71VXx+ycZ772VMKZfTTS3jooIxLvsSBxq3SN+eTBbN4njkW2D7z/VSmsChhgu+o9hxwwt3scPdWe
QM7aDwnxMvvcTd0Pnd/cV2SBUqAHcrZklHRAdIz8oZFVeus9sqiA2K2SvoQSOZrMGfrIjP/4dvIS
Ka3Y4wwOy66wdtR2mJboM0PwId2DaMQHMLhq1+b9uAtICg9B2udYauBhBLP/FnBhnaukGQ9wOn7i
So+WaUUeWl0Gt4+YsNEx5XGB1+7Z05GpQ8LKRlRJugYxWnxm1liBCAIjEgCS5ocs+n2d22Iv4I5s
NIFwgL9Pv/VS29rUJLfWPJ5/GY7e/qdd+6vm+m8bh6WLsxmc65ivoQATmvW33ZjG9VuNXCQHcyCQ
c10tVRoolJh08Moe1w5foWmNLcpA/mA123yS3mEsLVDT/+YH+c6k/Od+EmOI7SyzVf4DnM4/95Md
OUaqRA5xILNvlw29+EpIOpgfm8EO+qvvV8bCBs49Qhvncnwappr+j0QkYYTTwPlO7OEV/4zDnGzC
sYlDNGB+ZiVO2f5wHRKlNnavOW+tMItbEER88qR8vPstq2PozAzkQN0YX16lAFebdI1vjD8QLQhh
3c1h1H52SUThLf34xdMtuQgH4/RdpGTRccXZZ3goDAX8QX/zu5gvSpqoR1RJ+DmZxAbhNOv4ptEe
byBZWxQSVnwd665eC78TT55XTidNKessi5jnsCIAx1LFu2nV+qMw4yOcDR8CAUNLbxlfNt+TzEEJ
bkhNy80kZOTqPDXfY8/4ewTqOab+p/kejJo25FePSOCbcnLSpeLZeHORfLWrNl8gNlCEkL0LR5qb
OCaNMZWFegkSi+9p8V3dG9+VfvBd9aNOogPARDr9dOATh3Sp/pVMA/oEQ9TWPkLhBWGrDUyIIks7
wTTJ/ZHi1V05eeAftMh8iUGmHxrVxYie+ODzeSJDJwsIaNCWnmX4bl/8pZMh5ss5u0t34y99Drsp
kYSwGcs70VdLftxIR7T0Rv7SJSVsHjddAzXFbDtmlMtEdM1ton2R306TpZZ+i723+xUsPZi5dGOT
xngbhhotGrMc2jVQNuZ8d50+/3DMovmBCAJPcTUJS7H2a/mQnLpwLmKmv9yN6Kdc/pG2ee+ixq1+
aYkLYyhxZPxHWKR43P7vx8T8Hvr/0zGBOsdWglBq9hMItv+2W5UVbHwr4TlJqbXOjabih3pMCWvr
rPxQlbp/aP2uBKYm64jIP1TpRR09JKpO65Xmjuroirhlmkbo5IYJAHGfVZmPT3Q9dbWxmZO+d+XQ
DBBnrPZuj+izGxP5TzylY+h66go/9zoW4yKLHY3hwcDuJ1goqOhnpZHn4qaNe3CTNn8k3Fsx0ncR
LbrGHd7CtTKjW4Da4IHYOMkEmHwCPb5zxq2LXs5nGrOAjZ2tD9x4Oktx5nWSJ7v13X2Stg7gNpcC
lbdD3w+NV9xcN9NvVm0MdliTKPlseDgD4iELQlQPpBmhD8PZS9vWX7hcWgyXvdr2VDIC2V6jsZTG
UTuEjipAT7fwkddouHCTs0CufpFahRMl9yWFpCNuJqTn1xlS8aa2smFtO3OB2VABLQcGFX0kbBU+
lMMCcQ2rCsuvINQFoyN5Y0Fke+wsMoGWdIr3le9w5Gx3dPn7da5aTUQR/SojcmTWBVrOHZ1wBTyh
DybIZ9g8qpWHfnDv6l30GA1B8lUaiAiFF6chsRTak2IywqQgRWuUOsOxyACWm3pqXBgtznwrKToL
IJenHFDXJ8j5JuT/TqwNza+e8jQjrKx2mvZFnyJOQGz5qwFBJzKJZki2rpQ8abMzbCevFR+DaaTP
WK/NV7J3q32kzzqU1qHlalJj9jj3YhHI2dbJ4ZZa254nQnSZcMLixLt5iZG9VHoPyjVPYCgBp4vs
Y2rpdkET40YPE3AkbAKJzrkOMuuhKet7EIzNdigYULjfL9Gc9Pajq3XxeZxVUTLegQ+7yqxK+Lcq
j9DwNcsSyfjeJxlCyXkdfe+ZQEONjx1T3XkdN8smKuoLtlLwoDJCZCrziwRDtlYB+yvze5PVY6Pf
SnP0XovvTVeFpAlpM6gSdlvc3kQbuXnzETPdW7J6XSOGbdYYeri8Y79sOaqO7tskFlgs27asHkbo
c53i3+kMLPecjrI7kCuYEWPpGIcWNjh1dWvTXEvQWMSLBlmeAalze0JQGGA4my416pMlLeqJ9num
q5bxLoKo99ZvHH8l4uc8SN/RtHBAzIzNkJce22ieD2ogVK4xyNvlp+63DovWk0pYEfUa4fNNPvX/
kVSLusIzKCy4pGzIA4Zl/03qozOZzxmJegfikS5xcG3z7qEZHr9vw/9oEf7/Zsf41zbE5Q/6q3Px
H3/w/1dEE52aB7n0L8/C8uP8g+90+VGyID+nc939+CdDxrIa/59/7B+bbeu/MOqbDntKqCgoZ/6x
1l4oqCSQc/TQRuIbYKX8v5YMm38COQ3/snTUk4to53/32sZ/YV12HfbkPr9KD/3Lf2LJWNbWf33B
HPR0egCbkqoRlNF3SfqXxYEy+rnKjXIg3NqGTJ1XzW50WvJ7M+NidX1wSKOB8wKE34nlbzNyowUk
9+/I1fij/sXPwQ7fIzPF5oBafyt9rSDWaqOOkG5DnNsLz9jaVr6tAZNKcrBPbEBbQnHL9EI6ZsZl
TcdM4Ok5owbBxG89y9aD272feRfSi6VXJytTzToFZE/75G9G1zs10JIYdPUrzN2Pk5x2dHiguhtX
Z9fzAqnugfiFUEVVmJX9TeXgYPLoaFpMozR3G/UMR0tiiLOmXGVO/ixTC5e0BcDRywm6YfoN0GgA
L6gj6w8Vf9BG+vNEUGn63vfNs7WEmUTTPoutGwowEC82URN8sD2bkPfEZVkY17O+ZYG4qpX7MFSl
QbRXvJ5MLMw1xEZrPfhvWj4zX83uLUT6PlZ70/KOFfti8HusBNu7Us4HYTfealL5JbBx8dkEWayV
Xft7y0nfAnKhOn8+usr5XScpiTCfSLRfmFyz0/LOndM9EV+8Q6cXMvXYjKbZrkyPH8NlfTvJPBRT
8VUXw6+0JdhBzmQLoa/9YwZzdOgdk9nMbJXciEgflDefqBHOmi/7jRfDShqJYrEm914WMcjupx6S
l8tmYTPb471V8c3QbeaGTKueibVdFdUUpqyx3PHYZtZL6XN/65rNTOzeVurPUPoH1esfc28z1ueh
Ii78HUnRFgzEyWwtZ1uSYFpGJNJ4wQtfr1XuEOhHjwCYBdejGMJJHy4x4cwR2WCDaz11pCuQHC9f
DAu4lvGrLstLrw8nOZB7b8t4Uyv2tGwDrBBB9zqPqDuUoHcUaxOO4UqnTfD4araJ+8KKTCdQqfpV
M/9G9l9u6h7qg6lrYZmJn7pA2BvpqB4ZazD8DBlr0+HBfimNZ7t887puvmb5mL/BPD31uf0YKbKf
/WmZG+HzOMBhAr+VnwBCbgjb22Pue3dl9JsA+/M0X0kS621ioQ3A8yjT9EdeUorOcT40cfZGUMPI
chzOT5bc5sh7GMBExi79umNd7emx85szDPl1j5+G1dhUP9D37aUkM0G6DGthkIZxJnhrIY0IxiSb
tHLyvZ/chtggDI5iIDj0FWpzh80D18GNXFLGIpF6a2YQYSiyoeaH5DWzJdSM7twGBgk/cV6sU9cK
SejY9H76xSpl2+Y3Vv7rsTEeseZsjNreFvr8yoBwP6BR7UQykgDsvqHbXdtaseOr4W30xCwPVg2T
fzCAN5L5damlcUxMj8J3fkkH0yG01ftg8ouPmOGpi0V3migySiKSzX5nmuQ3zeSt40AKQZv9RD12
MyJmaXZsXkHjAoxivZcG8UHlwWeVt4dUOr/q3DhkLZZbnaRt26zLbV5UwG70ccEaZdvaU/7G6LIn
BuPwfiL9GlsMQivj1mE11XudT56lXKxrB79Jz2izRvIFrHHddMOWgOCOq8i5OVSfZUHOADnWz8iM
dgO6mjVhaIgu++arhr0BU/21ZHbr8l+A9cy3Re/k4CbqU510L97cXaNKfMipbNiVy2TdeP7rPE53
b2QdpYKz8sSpjqPVUHbPzNOus9V+kI7+aQqTqVT0oE/yo53yt3zyyp1o+HtATJi0OuwG1pwQrJ8m
W3sKfD6e0mhDBk5HBu/pWuYTUgq7NleJ12V7zx8PI6ty07R2M5lYVl7uKpn98GMyFdhnMGlNzHPL
0nlVtY1aG63/2zS9V+WoBVRth2xVt/AT2EyTeh4iZIFpbFR7fw5+mFhpVm0f8P0T5EO7yBbMTHsx
6fhxp/QhJ+yCR/atDaovXDtkuJak1uhlTySix8FAgZKI8WMIolvFZk4b/Qd9EEs4KMFKtA+7vsvP
Zh0f5tj+3RIUu9K7uNgwSXsALbPXouhMXbhFZAQfDhrSaupKMFcawdBJF7MNVVFoMYjg6B0E+ouQ
pcytaxBcTUmch0R8nqEWkHkdp7/QY+z6uXjS4fwvGuHHvpA7hKFA+bAtsUvsXO+M2+tQz/Zx7FEO
dUc3EevcY4RQI02gozi6zgc58i9R2eO5IupoQqnGBpIE83yl19FWJNGuIb6nqT8T4njJOHwbOuOg
imAjCvs09mI/Dg2j0mpjBPCUfN896KlC/pWJVe7d2wgUrrD3U3qBkP42Ma0fie8O+Kb7hfEuC3GF
mrLP5wBberBLBWk5eAf2s5bM8Jq7ZzcSP7qcHiKBl310uzdw6KTUM11d0LoByVSFxKTzoJhdoxBK
4ZV3j9psnSfFzdUoF3QtR15zvJujkt/NdIpJkqo9/ZqoP1j3LjqZHhkOlE63/oioZiWH10sWxon6
bY0u409qVr+S2L5ariCOuNunefyMhC7UZQJbtgve/UxtMvlHOOSPTVyd9Ji9012cVnEI63eOyGs7
OUev+Bz8/CMbqs9YyzYkpT9IXV7Bo66t2uF6iZIzJLC32RhQsUDKG9VFAkGbmvLaOuVnGS/2fc3+
Crz2MkhzX6vpTJdZwlOz1llg7EurX4+G/CFn+Z7QZReoNnKCduau+oKPfkq0s48yr8JyBmIFW1zS
nHsyJssCl1jG8ie949O0uBSScWNzLcsZQ0K5toUMhSp3o3WeM/8wkmqnB+nvwR/QTMUAtIkUtmum
6AqRC7riJNfPdeyxeQxaQqLyx65yieVxnyRhiwkKtbQUH8m5wvvfv2R2vrFabdv0GTqFfm8gFF9Z
Q/rqpR5Tp9kMK2iPY3bz5k0lvV2hRnD6/S+bljlJWUK2fICd+WCXhEy6cJkDFkwwlk82idyu5752
qvvCwBWFwrZhQw7Jq9NqSKlyMa/VsiQwXPtxZE6/dpMeU6BO3LVLSuiuHqz1qLEjyoo1S7B6VdnO
jXD1DxYqP81IvvVoQbSpL+Hzdq9djvtuzF4zuM+OQ+AhHs0YPL07Pw8szSUXbw6pzXLKp7apynXU
7ybDCb0BDml8xkAarMdEPTD5XCXkmQbjnyIp1zJ9FG1wHMvgFon0mrGRTaeNC99aPak52db9FtzC
tWUdvtHMDnthkvB+pCG03yfJU7SZ6FSzcTfDH/DMt3jUn1Kpcx/4OxLBiTbbMQffy9S+zbm/bTr5
oPTycTBuBE6FKM6GOf3UdECE2JRWtUQckH2NED3d0XxImy4GuKaOKiB7b2zJBqteE87mVMfHBaCT
dfU+CmgkUB2kAqMv6d2F/+xC/fFt8SPFNItbU26cJVbbp36QmveWCxaKU/vaznE4t9pBmqfA14A+
cWXZlKQqco9t6d6N8nlwwrieGIPLPm+DRRQEWbksX2KEcOtqyNJj4JUPRHItpWU/Y5ar8nPju+VP
jcCdsIrn+sAGvKOG7ALxzsKxfm0F/sY5deQaivz0pxJMLoJM9/FJWsOvYayJgc0Dfec4pOmC648Q
ckgGLL6jQBI6+k+XSOFH3yrdk06+IlFEuVvu4a/nrzUJMmFhkJ7LeJlPUhPJZ0k1vC/SZhl8ao4R
iiaujxmEGblGmgPl06o4sEV6MJbhFOpE/Td/pP/TK+b5i4Wbvi+dSewIDTTuNTr+reERkeQnU3fU
q6w86ZrX3en3qI8pzNRq6Kr+sS1z6xmXnlprQcvbkiXjQTf65lQPNhtsjeWX18W8cbOmNtFk+JBE
NCKWy6EImH817bmqszjkrWHxzFr9oAVNfzYrLzoWneyPAWoh/K0arZfqSBr0mDKdhU2wQWVO5xrD
MfXMpJNVASHqVe90JubwWk4ZY6Zt7M7x1SbP8wOTcHBhdtS+0Ohwfvw+Lr/8DLqLVljOiHQzya72
IJxnJ8iSp4DU0sd+DJqLMTJsH+xMXbs6SE6T/TqgZmWF1+2CWainiKXfCzmCE/GHKSxFB23hVrUY
k22mVo/d4MnLmM7eA35X8UnIorcva+lD2FfqK+vm6iaLUdwwVffXQhrZoSTGgB4ykKsgJp8zqX25
RTXLypS6fuVaDXqEgTxcKzKNdW1nBNImcbMrlwYbbRtm0yRGiJsXo7E2WIm8WazX1orr6TNzCvPS
KGkhJvGME3pMtEoIi1dlkd5q9akSshVTlFSDKKYrS2de0qachjuptusJJHI/lbsac9FGtvNPdroM
XsdeOpsmGp4jzX3xq/nqtvmHmy6btvKQ1ObaJhKDax9xuatOJNqG7Gbd0PGcNWKFeGNrgFNQ5LHD
fR+19kDkl85s1v7lFjxmZvbD7vIQ7dCazMOtINKkonLjYbAdcvIaXFUXP7b1XRV1b8qsn83KPqS6
fylsubGNeZ1kFj+x3A35xdS7V8MQQdho/fs8J3Du45SKsnSfB3t4iTQDwy0aMyaOMPXzh0lph9if
rn4aD4eGbAUIMWaxJ7cPRcVsXicfvYhpF3jrqzBoE4baY79F5bRF2UVkl2lvh04QwKaZmybs5Rsi
upWo+xPOckS+/jYuqj9N1b/8ZT70L9Z8lvvPww6ITthvdSSbIJZtn4Cnv23X2JNRMTnuuHeLN9r8
9DQrqa5qZAOsISE46m7VXlQdz4/cT8nTiJX+2cj67NpFrTuuerca3n2kqF/e91HJl1MzLefHWU5S
spypfDldbBHak/F94pazV89xfh8tbKqrmqMplzPqL6d1Ws5tsZzg6Pswk6DdHwmr0Y5xxFmfllPv
L+cf+E8cltAbzvDdgt0oRyRQxJH4B1Kepk1ldNHNZBC5ZU8YI8nnlpmX+yaOuHl0waKytUfrmWgX
7iWjpz6Pk0Tc9azu73rdlxAQXUTWcyeu8Uw3Fiw3nRkB44uW289d7kHiEvyfS/zdb3O5JbtJpIcE
jm3QtEnIUovLVC73qoawJCy/L1siX8B35H7ySRa2s2r0KXiyszwIEwyPr2xwaBiY+zJASUb31E5j
8mgHtfEzCjQVlm2AAC7jkf9+BAh/M3bj8jL0yxsRLa9FvbwbWRpMf/TlLemWV4V5Tv1qLC+N9v3o
8NusD7HLS8QKpfzpL69Tv7xTkVckB6Xqh3p5w5LlNUM8/wJVGt2OP/fzL4aEJyQPASAC0+hfxw7I
nj9J0aymtDDfJsdjqFVKc/oYAwXJaLJYVjcxA6ic72Yo3YGwhJICjiwBc4Vw+uL1BQkFCUwoszGT
S8OAGgFUuyXBUdu7WhKgiO+86IddOrLeYx6caW6QmW7xM3hoUcT3n2j9N3tnsh03kmbpV8nTe+hg
MgyL7oU7fKK7c3CO4gaHEikABhjm+en7AyOiUhGRWVmxqEV15y5PhkhRTsDsH+79bk2f7yrUetzT
mkvkR5HHwAOKIrstcum8eZVpHpXkkNg5A6Bl+E42lYJCW0qIi2On3yy9vOutzMeRjZus2sbIrcua
bmHdsa5h4KUcbyVRoC2MgHGDoOgS023uSST/WueMcjqdcOqENDb0J83ThDOBy2bc+Fr4IGX1kLXE
XmsDiRNoPRQqu7zdeDTsHzQxzxoL+bPV+f6mKe1H1K1UQJppbXSEMpywCESQe2UXb3C0k4dDbcNF
3xAWnSYPLjyaldM28iqGUp0Y8gEpY3yUlZ/uc5cyu1P6VWQZ7SYnjJzdzQgol7FcirLXeSVJhlmJ
kfyYpiXBu5pjquK025jGdAK5Qfig4o8TZxcj3+pfRGcUVzlARxIyRnud1oW5q+AjBwZ5FKtmtnde
XBB3mA/AOvRKbBmmMlbR6zd2WHfUhaRcOCO7D2N4LIvxqTBVfj/AzLkxvSze2V3Xe6uoS4tT7JaE
WKZRsWuniVWRZhg7SzrllhiWGWVd32x7k3et8JhrhujJV1o0EVo9Nq9D3rsk36RsPOb8VRigDZTA
2pARertTvoUrgDUEj1VCfpZS47o2FnF8ib0AH0q11kvmixiikYZEvqK0KHXa+VtRgU2LLCqmKabl
j72weCpCojX8ia41XPqBxu8f+DpxiCyRce3CMXqETZIf0V+HwG58fdmpJOcidN8N0nQe4EfMPAUc
KMQ1v9PF/MDoSzqnY6xHI8FNAuHjuiyIMSocPrvMj9+hKIhVJhuu9oqAbqoC7ClT8m2azJch+4r8
/wynmifCRGKTu7ckCgPaSPMfTjNfyANyKIU7IoOyNkMkAJl7Q9MRXTe12QeW5HA0dBoPQoy4rAq7
RgNp6o/wBxu6V+P7WOjWRlTy0a2zPft/f6NhfqczhsvjREZ8ilzrOLkD6laL92usuSSITkoCBtLX
fSgAZHRuUe2Tti8OsanF+2iI5hcil2gyI2vazmMKKm5sXATssu3n1zBJFd4fO167HYmXLHTNG7eV
5ZuMJ+sQaY5+jAdfHrLWbm7Cwm1voVPnt2isx28h58/RMCt3T8hS+9ovtRX+sO7aWuqt4bPyWmow
U2vdAxo/LQg/qzNOXPvRW0q2eineOj7xv76h+se7p59XT//nv7bE+p+UBfjLPgpv5D+3aj7USdnV
7BV/yS45vP/v//XrGosv+3WNZX6xLBNBEA5NbPM/b7KML+yOgI453M+LRZN11d83WUIs6ypAmZAb
rEUi8dsmywRVtmS9CsszdZZdfwkuxhL3DyskyikHjQDyKVIrHLzS/PefVlllnmoajK4OvzYMmY4u
nnG3t1ekOK8Mf3xBKRatehR0a+QkBMEV7cdoms/S814wEOuXsMLaIqrhvUU+vkpBWzEIcbpA0wxt
NbZVfg9wsjm6fUT9RHhUMPdGs5oreeeUGsYas4/31JIcpVF57ZapCZ1piimNxUtBccL+froUtHQk
Td3SL8DbiVDe5r60V3OqvSPGxUtXm8htteoVbRsDJ/ZJe05iLI3CCvlbo/41YT2mzcWphrKNfHhQ
cIyc6JYthh8kptA2ekXjbVgyP5Vw/I6ttEl/10jlivPQhb7v2mpA4zk9hT6zrSR9G+L6JWWwiIe6
neaz5tpiQ+8TLpSieh13jAmlaXcXNcldWqf2qXSMEQoPiSczwe4B3iGUFZWBABh1xARXRgqj+2F0
/nUzRc7GqC33Ds2bTtp8vImrJt1NjVBrBN752ZUEJGljE36zGKHuHcqOKzQNZVCDyUf+57uHtDbK
Kz2LnG+tM73Wox+vLUrQdTn0zaLT43/lVvmtc3ztHDo9BJ+BFixB5UE6n7DPc1p3W7IDPqTRDjua
YPem1qW/HQhQRFxrIIDUC49RqYutLM4xDvhVzdRhNC8e1VdZhsm6SMcKpU2XvljF9AKsn+hp7pRV
s9zWqtFP9nJ/lwXh2PNyp6dcKknupXu38F/95d53ev74TNsWbwcDLQY5TVfFUinwpwiKwzF8TNzs
gYXEg7vUFd5SYahoTB6asKaSc00qTghaZ7nUJKhCPMpE6pQ59a3NsNQuLUWMa8kQF4omzsQQP/O8
+h/jUvPoS/Uzm3Df1VIR9WVDOxg+xJRKTjGqFRrSJ7lUUf1ST7G4sVcjJVaWj/pets3FWKqvdKnD
HGk1W4Uw9UmPQNBC2kb95z/Mo7zNLdpNOh7a0xgbbtMzVlr5ve7vwNQsy1osxPVOwV865CH7ICq1
ury1nREzgNC0IK7TjEw0M0NBxIILQke5xeZT32C266+A5SR7IrAmxNoxx5nf7GZ4Cx3onJj5co3Q
hUHFpZG2t6OqxfEpmicjasZ7DFaMqFi3742W8JzWdh65bs1dmvTqKZNpsuZXBQhJTD1zbNmiPu40
UN8F+pMwNasTOYc4sqfBQYuLY5XbWtRm0IUkVZZ1HkSUvUwj6b8cZY93DAL9oByJGkVfYq3bxrmC
ZG/doBlqAi8UiPr9IbkbjIxSvUTTpMtZLTvm+Xs7+VzSWESdwS1YzUp49OVs3IXwjQLSjqKlCiq2
rc7CQ29CZtZOFAdpO6DJc0pG/Wa8MBRUhlBp0nQn8Aete54a33nsos7dV94UPmc60lhNd+VW9Ojh
ExtBvcQVdaxckTz6Sckct1jk3rGYzUs2G9o1Xi5CVok0f0ad86zHdM2FM2GYgTdVQs8nq8H8wI7R
X5LBGQItaRpMeL0DlGIs5isv1hj4s5miOxo+eqtRN25pDRj26IHpnRg/hDjHNTdLt8YcPXt2Vl5r
tXcMNYWpCydLxC7SR1AHTM0qcIdWRwJcTd5cgqgDorjpH/rYPdqZkkS2h+UpNFp5g3qJCYzenTon
6fEUt9UzTrduxV6O1U8F/p7RmR50CemWqpn4OOUsH3ufH2OJyr6E8Xw3kp8cmAheg2IakgNq+jvu
ISaVOGS2QhfRN7qgeW9k2kMEzxeLXz7SXuftTZGSYOl5cwJsH9J8bianEXfrpYrs4k5IVOIqYT1P
tpO2RhaxdGZeGEwzkZI8u75x0ATmXQTgglhuT+2weNWnUcMFoClwjqEidLR3LU7hRHwYBkgA36Fx
gqNwp2rne2J60zqUbE5Y3bLV1ktrQ2rrsDCp5k3fkSyqwtQOijx80u2CW3H5GcyM3XaUDP66aH3z
2et5mzMoLJsonP1zmsb4qc1e2M0qtaLhmxZ1eJMhrdcPZun9EI08q6Hj9DXoqGNcK6Z305NBtsLe
bWmB9OIBV2HcbdmOYD7W5MUdjWXV7MinEmzopjLRYPhz/KRyZye0IQsc7oQcKaL/lS3vvK388r0Y
eaCcJnvoKzStcpyGIM/067knV9FHO8ptJx9BWpiMNzV/XS+/aS+dwq3VU897iqOHqI53NsHfqItf
e9cM+VAhu20ypA4btwFxjBQmuSIx5DaJq/rskTUImdG8S1BtrydGEOsC/xyiTcQHdAM5uYSutW/6
tH6IsG4EcxOR3YgHe2+NxZuucQo5inAKM9w4rfg25SyzbPHOxlEAHTLY8lni/d/l7mc838O/JpO4
1kKx/eflbvD2Xr/97S1//9v1W/RW/23/1n9kyZ+q38/v8kv161pfzEWShR7etcnF+4kUTx1r2Es4
NtkvHk80hedv1a9OyUzSHuWZgBVvov36rfjVv+gU04j9dSRgn+KvvyDj+j1RioLM1x3cRwCC+Emg
FPxhoChlC0wxzEKwubyNgLUdO94yXwvS0d799Dn9g+mlQf3/s2KMfzvFtWGASIPYjhTtD39XpMC4
lqxtN1y3297tL5Oq9mQDbfNCbMm//Kp0sW6HZ9/aau58ExEcu46tF6T05ICMxzHjUufp/xc/FZ/k
n38qy1xkjvx4n1yan4v/sEwK31FVuCnjadOixsicJXHbdLcGBoAZj6erqbVTO1svzRncY/AJ2RCG
DOZFu7bN8u4//4Ewtf35J/JMAGsCRTU5Y3Q3v2tHFLMUzdejcNPMXbxDtn2IcmFf4EGEN2OMh7cU
WnZTZn1Xr0ZnvkoKFoWQ4qm2U0KEAcW8anUu7jgdMnSmXngknPaA42fLggDnQj68uuP3jD6kR/Tt
FPnZYdmaDlh0iQSG/Es6+gqW28ZqED7EPiuRhF3/HFTsD3JTnHVC/nCHbUs7D2SGaQLLahcnV452
GcziMofce7iV7KrHkQvFHuE9QFn2AOZV5CCNBhTeOOYezxQKvBdgEgcN9tTcf9Pyo8PYYMWo96qk
XDPtfeo/9V3/TKJtuaonCKPl6B7slkia7uCBrcr6YmfVbaAaWPBtdIeKIXHldcbtM+vz2hPTRrFw
EnEL1hMiZpgtYr17Yp+vLMuFZmkhHCSuvVPttpLetF2oxwhFApMtoYZCqLPrcx8728b6MeKpZZSF
nWKgYu+3VlXgYH8mMuYK58nazXF7Eh3Qsds0kn6LV2gtRbGvG+KDs4aPh7/Gt4OyGi5FLUDnoHnW
rH3XwjSdhz5wxUjsONO56lvs3pjEGuZYZROyg4dFiKH7V6XNm9l7G8K01lpynw7FXquvsaZvMTO9
9ZTwtv0N0PNr03yH1AAXqALx4980MPr86TapmVeDalWeu8WyuI7CprvWfVHeI6l4jVylneHU2IHb
pTcak+uLOcMiWEc8WmYbslxWdvE9sipyC0sYw2vVl5Klb559kDwT35lzVLz5JGIzSxPLSxMu93kY
H9zBvneNznx0UrOHqRx1X4ce9Gtn+REjcRdDLWii6EmVaQ711ApXMGkoZs0UdsYqBBVxzy3Mssxp
3KCt8Quu8gHiET+FM74J8mX2ZMAh4BirPjrHfZmc0FffiLpx7uq5dy+tqX5l8f0l1fL/pzMhHv/F
9/XPL8nlasy4I/9wLf76db8OhcQXc0EpujaSZ5PFFtryX+XN1ue4yPZNYKgCG9ZP16LD5AekF8s/
k/vPWrJpf7sXxReDy4xSj9sWNCVEr79wLxK98ftTmAm+Z4HzhIjvI0dyzT8MhWavQa6Fo+wwJWB6
c/eNLDSfl7FW17E9hackYzuaa+oRgDMC3rTTdhUqzrfRFu5Zeo3BVNTbSeHkK6yFtLh05XbuPUa2
8oOs9pmodInL0DddJgJ2f9fja1gNpgWWquyy+yZONfQ6dY020kYPxMSicc5Tw4ngCbxJLqTPtg/v
OrI2HFAtGz0Na4zY4eMYh94W93IGyU+ckPQ4by70dBal7CsKk0m058/nTM3cGkOL2CWbFqAIKk3N
G7ZD04OnlwDj2UAixOiUFVSK6mA03KCLag0PI3D02Gbk4r9zT66GUp1AXW2mxrwkSpD9XUZrSC/r
rjB/CCMZr7Q4XLRTqTfvzLi+T/hsb4D6UgXMWrnD3vA4Ih5xtOHUCT5Mvy2tk5z4JydWem3n7a7S
oD2gDzlbgthYTy/ULhnb7zTr83X41HDmrJoq87dx1V3ZRpzhB2ufHDEF0DQ2GWifStnV2vDyH60N
iN135NZAfzx6ziqf5EOF9CMu6RjJDokAq7M0Yt0UaLPca1N3p5miRyzUjI9dMouD5SpIhOYYJGmB
Kxl16uhWEbv/KL7PVU28Rf8tFPRiUWNn23GcvLUslH0jMJSuUFvBOgmBXU3ou3Zea4e0SZ44oIOe
HixVXKy0spF3W6y5pYqnez0LZ+bzTVvuWk1GN6NDcIB4tOjxd7N08tuh1jSCbvtzpNs3MTIzIDLP
UTZhGCJWse2o5ORAnlbdHLSZVSV98hAN9RFyyCSmhF9Vc13X7Y80v8dHCFje9a29cMtsPTG5g1+0
scd+rfcYnirf0tbhOFODkKY19foJHi1Fg5uvPM/bFtW0CKsRCj6Z8CRWZay0YHSWv1seKl1b1Vmp
P5oJfj7ublK34pXZbBGhoy7zBmNXgQ4i1PLNBktwnA3/B5ans7UktpAbT6TwrdV67DpkAL3iUs+x
8bWHa6ATz5Ns7M737n0n3+ZhCK3DnJAhWKrWbqAyiFuICDDKfHhVueWJ76VddccWP2S7bibh3GaV
VV5ZYTMdpV173ChVvIYWGh01IikObKe7QybD7FlaEUgWerfkFJvED8QyqvcTKpiHxsV9yaNK7nCh
T19xqxVr4g6K29ix+oPr5tkrfaQLkCCZ15mepoxdcucYO4V/LOFIcLcNw7Y1jEVZM49nRB/qYW6T
8cErVXcl9VI9KgqgbdVji13VpV+/tcyUgsqI+2uYAOJMikZ5ojoY7tCEWtfCmLurVq+Nr4bMOmZ7
4HtGat0jLLH0UMe+uJnrIv6w7JGbs1FT/V4q4L6QjvjU8ewlZ1n6w0mEWXvMQjKGMYn1+q3njfpl
sPrq2kCnclJpET8ye/BRYuO25lFxT5Y26CdqhZYwTtxOFFeluyO/IbumP4hQC5KkLjMyPf5FMW99
jur/7kphUUC2FgsGbgGP1QF9xu9r55RJI3GVM07/KMquS7su+oNs+uYaCDzalhBwfmlAf51MQD8g
beHgQ2zBPIhbHAHjo9M32jazJjxcrlzWjARnByJK9C0L+AatcBJBBeoIo02KSNw6uS6Pra6u3dCx
V0nlz7fMuOnpQy87TxFWYp6kRwEdAWQD6QENVsM1w3+imSbxUNcoVbpuUDcEEYBkH6YufCiHwdR2
Ptyved24c5UHcc43XjH8YHbngFTZ5XMcEumFwWbc6SqK5YYso+IrfJ+KWPM+KjZiNvJHC2Dg1wbb
cZO185bEvUvnars8afP1hHWihLK6rloXiKeeEaus8pNmwRaelIF3rbMu5die4rK+D2vXW5eF3rID
ETD8khFkYZhsUgPNtKVhznMHOUGHx20w2/0xrIuTS3Ajl+WEuhYi05AD05ddTS3OOH1VDU70Pe7F
AElosLcayI0Vu29xXWDj44wxsi2BUvJSEmwVlF2krrt5cBf6I4/SzJB7NZOMdxpKgfaqk80pEZp/
7oQeP8Z6ZJ6ixKmuyZHUL4Xh6LdxaqGn8pO+PfK7Hk8wOJLzoGP6ZyTD8868qXkHgN/bK9r6+ENl
ZB6NdThu6+VNmZZ3xlveHvKmOoI6eKMyEiCv4nC0rlPoLHdllVQnW8+5n+Omx3TPVZk7dfMG5wNT
B0U/RJjlDfaXdxnO/vgQumn+0C9vOkjT6IB4e2BCxTmQLCfCNCMnKW2CYPsqX56DyrtHCZ+94nHo
D/NyrszLCWMvZ41YTp12OX/m5SRKljPJ10r9kKIUOOWRw5E1trV6xr0DjTxV/qFsh+hINDixBK3j
vcnMnI5lqLEtwet9Gyufg9HnTx8pQJzvDKHj3UjOGlLpxLnlT2s3XRU5awNZ5SZJYKJj8JkWDXxY
e/iSZp8KhUBq/tmen4IUMYUrB/zAIWpb1PiOWhPWWE97Zceqv85d6a11UYlsNTPtnQPTRy+IxteH
4ZczECufTd8lr8YUadmSYW+l7b6I6j46mbQNTE0bYBGrrvX6Dq1xPg28dgmGHD3ScJl4cTxFgT+N
FRKkWczc13hqdYBry2CtzGWx86rWurG03jx70SjuRg0bWeZbIPKlbVwa8g1SqJ+h0neVE2fZhkQL
/LkhKyi8BCUrqN6p6A19nOWr2p1jbdOpjAqIsTASOZdj82XOsoR48jg3OFsmKX0eMaMyTrXVmpcU
0yh63+rODSfAqlIiHG+mct2a+b6BKI7puH1s+5ODm4KBqn52Pb882wnDALPVQuAcFoCbGiMLdjLM
zES2rEo/GgNVlGSi2C6Lu16+lqk/bCc5fDdyi+y32oK4OZm3oV4N10XLOwo06FvifsNx4l9NJusr
x51MxgRcA1ZR2Svp6js3LhA5GReJUJUgEw9zyxCSGuM660iBEugq2z22zujssayrdZJYV6GnXeBa
ceclhnXSuP83+lx+JzhbW35HSICn0lrV8XDLdf44G2XyQ0CNOjQdeqghK+YjgAvmE9AInwxPnwJp
VNMP1v48g11UlBZ2o1aXZIAk7n9T/OX/i7v/pV/7T3f/57d8Wf7/gzbv77t/m8hLNItEhAkTM/HS
sf2Hi9Wn/fOFI2yssr8LFhNfWMPjhEXVheoP3d/f2zzri7dkgfEdLeZ1Fo3oX2nz/mQf1R3BX4PH
1kd1bQhvaQN/2v2LqgEABd1wL+tE7QncIVksISywnTGht5EZrSGNPaSQI3c2nPp1FM/jo2paEKpG
8kzUUXXWKg9nZajGo4tL5dL09p2RKwYvM/HSxsDy0USHwyKZyf4qrsMn2/TUuU21Q1PDSrCBIx2z
tLlo+GmZCI3xN4FXE92yBGHSZ7fSQ2mAhkil0MfItVlRvHJr0o7OQcmm/8EnPoOM8jZkijSVZ86s
MQ7QP7H0IoKJyzJkWVem7l7LiTTdI8Ac7+nr4pekLD+AsOZuELUWiNgxka+JiXSfZLc9rK5rSd45
Pv8sPQ4QIoLGspsgt1ErshUO7G4RmwoQCA0AkIuMsopRoNhPHfOcQS1I2gTxOGltBtdYgtQ7Tl7w
Qzro8kqaCS0nmbJphmo1CAtleb3YInwU3DqxxzVMZe49EzcnPWp50Qf5PojGhjUShmsrnnAdGPpA
M9jor8oYWSahI+p3E74qTjU7uu+Hcd1ag3bfd25212eOtssGEeZBaYf6HcwrDzF2NKDqQJPVAwFc
YorX5sAdxlGaQoH9rFCTpVgNzVGD2mUrYLnM1dioZgwwsxLA8KHmZD+WY9bKbTib7ITtsUlD5Kth
229jT/OPfYFEuDXrkDwx3LfxDgFYf4ULsMLM5s+VE/Ri4uZgFtKHa9mUGU4ZZWMSqKyRlKkx78Es
NC4LObdiS9UrhdYZ5Il/2xK26qwUvIF6bfiu4LjEpALB25BgbRqnPs9ta7MmR4m/8IpCOsQIf3DQ
ItHDAgnuH39Gy5I172+EbTXG3ZSCNSVEtdG4QG03czeDbVDw+jWF80Wi7gTmucRPX/GEWeAuKLXn
gBLFvNa0AUZUmaijW3dRtGmnsi533I3I3yTamKv204ExGPVifRn8u6anUk91h5t9CKFHYxLWWxX0
wI6oxVxqcuva0+2XrHFvR8naMkt0k8q33sctTbKo9XNW0tPCCLn0S9td2vewVTaTYU/XydLGqnTZ
K1YnGYUBEZ1ATc4OY0vqTdIPymhet3XBr8wcRNCqSR0iPbVuk8nSPnicg8Jj5E/PY7aJFuSjd6fr
kFWLYVyxq9C3vkJvwj/1hzXfqbYPGo+vMYzyRWmmvGt0/QD2OSGiBH0CZjubEY50aF7R7CRZeu+X
WsjUo7n1CEltpgl94wBNpxdetP+cE3RW/KCsPgZG6UouQgsA3+K3dhw1oSKETWuoollP0JfRWBTa
m23jAa3IEctJU5sBp6z60l1oJTqj9sIKXNiQFVMlTMqhkRdnPZHOqz9F92amkiBBAr0bwqzklZHb
1M5wnFpuuwYf4n6f7ZlyyJg2hjc2J9OUUP+Qb8d5Fh564d5z9J0jiRTaqiYTYp63bYECTTLLtvZk
OrvKR8GBaGHHYug9A33G7mL6iNLwxooH4L2z7WztBrck4qiPofXSb90c/fhpCvkPVlAE2P9uqrf0
h+xUHID5OinFCz7h98d9Xo6gnRPD32sR8XmxkubKnzN29NFYipsY2Way1uYOlJgAF3bWizF5iWTB
jAEPNWsS2HUx52Tr8NY5BSNxaZbdQqpJ64nnMvEoY4y0YJ8CWumpqHPjO7R03mejHgYgLGXmVitG
b5glsVyh2RrLur9KjZhNT4wTFpaIITgsQLEdqRL7fis+TxMcbpws1ecpg50zO46KVTbA98k1KZRZ
HsR1ndO36WBT0QrISys1RlAA8NxDXWGQIkA9wo+GBtdsI5L8wCNkgOoGAL3bLiFLDSDOCRr6cBRA
EDD+xkeUY3IjTRYFqenHAdw1wmtzqJlQmC7z0iZKjrMToZZiV1UmMgJcNjQFCcTAMdzRcZsEqrnt
h4G++5FynexBK854VptKkf6bGt0II6zwO7wqCbZYBl1J4Oiy5ulmYUp/UxoyvU+mxhiOE7SadSYH
emcxkoDrO/WaTRS5lX6EoWzpvVk4MMmgHU+KWh5JT7NvYXYCBfTCKP/KoQCvsnLnrSgI8QIsWCf8
Qit5AwXWe49a0W2SXN7VWWFeOTrpFgXGHOPMLDDF07qUlu0vZWar5uSkkDQeY1qFG8Cw2s5FuoQ4
v9d2BmLdW5jB4apwo+h7WCW8rZA3u9dJcHphiDRv2GkgsGZGSxqD8c3OQsK/xkYxnxXI90xFiBGz
hlUCuz1TBcSJyrjitqvRyWk93WjlBc5YVxtaV4KIyCGiIcFXPp3KVrzE0UxWiiGfAUsXKztNwB1B
8t0ARu5XZmk8KL8t1mk37ms49Nxz5c4frfdIN4Yt6XzfKzSAMT5GY1fG7ZXlQjAy5CkzjWOjwucw
IuCyig+gcL4haoA94V/rfc9Us+vEdpy7dxWPxjUhih+osZB+dKUdGK5eb8k09PaF0b7B6W2u4mUT
1Thp/D7BB7rqHa+5U9hLDk2D0kmWoJCUSr1d3zffKRZZPQrrvbeZ8pJz4axRtHmBMpLkaMPZncGo
7ki3NK7zyj9jvprWJEHiCs21KbBco9haBLusqw5BSy9q6CBlh7IGL7LPLzu1B+acHqPPzNkWZdOe
55IcwGmepp1rl0wnR/Meq9t4zgwjOZjKZFZiTA7Fh+FcI9sy7lKRN7cijzawqJID1L9sHTFjyFZh
Dr2HsCVzQB6e2R8NDNyN2RnlD5TTJJ+mTrG1u7lggwlu1iKlFreFiAJppURHDuPCQ1wcGqNwMWs4
42Q+u58Wjr7GzZGIpMWMaOs4xBIpfwApxPyhQnxhsota6OgmkVU7rcaGvIEnoVBGcUfXy22dfl7c
5ecl7nxe6JaLUXfvfV70/eelP38WAAuWGyHQZ2FgfxYJzlIvMBxq/620/kUX/a+lJ0u3hd/rn2/V
zh8RiThv09s/6Lf4wv/QWrucIqzADFonJM38l1/6Lc//gqbA4fLzke/+8l9+U5s4X5CBkFPjww+E
5+f/JDcRX3RTZwaFMhrpmOv/tbXa0j/+LLfwGMwtUgudhs/mm9l/uIARj7WEsrjOvvZrO9oTNgo8
zUPgXyO1TuL3Mc2yK6YHY3lAH9Hd28bkEU87GHLewuW3HivJTi5vHYfyzUlhD6uEYPe1GNqx2ikS
dB+XSvlMxJcOa1YD+maJHOmVO/q4+mzblv4eo5GX7vTJq8qTrhXAKhvs+EJEvCReCH+rITZeX/Uc
5BQ/hvZAyk119DqX6GCbmM1cev7G0Mm4q3LvonOP4M7Rr6eJi59QiCpfpU1ff68AqcMvRLVYMWyK
opMuG79lEmzMJxFT5geDzQS46TJvZ8+Z2rtdjYvfTMx9KLwxiMRswUSYaCBtvGQcZSMZLtnk3A2x
5T94he/tBiMdMCtn/lpOql9Z2Fs3Vq1Ix+p82sfYoYVEpPLUF97QYWkdSxe0RXExmBCiKyiTSW0K
hEY6JV2YoHbNh/6u4hyE9Jtzfp+qpMUYHnp9bzGAyag+/RziTtDQEwCb1ZAo4uTG+7GNjAnGWdYT
IHA3G4Rd3NQRbpo7w9YZ8cx6Fdb7VGp1yK7NM+ZDp7dgBcN+8OGiytDoN10H4nNLwZu99JlZEdGq
arAhxsxyCfGuaacsq8x0Wllz03fb0Gn6ndvq8btekLu8VqXyd3ndGU8iHABARHoU4dpsfvhQADqN
7Gkz98xTUU8lg2td22soXl7g0ZKlqYe3w5hT1FVDyz0/KhZP9UBgcpXcMedm/q9nxGFnIXVvJcAC
N3bevFuqd/cFvphkl+CBN4Ks0KuADAfvgYknWQYTpuYpUEnr3WeGNp2GkPUPzH6wN02b3bcpmwZU
ELBjkQLv0sgqrnSX3lpr/GijJ94VQ/MFO2rMDyFI7W1fFeIKYiIaW6ntYIbDTyEVNi2a5n6yJZxM
w2luNBq9LXl9ERncFssdO6snfPlF7CosVPz/O8K9sxNbdMoIycZ5Qvh7qisKnYXpmzzwtHZHvENg
wMlBZZ46+Yk8TFE6lKsi7ALWvRiTiGo7RP2Q3vjUPV9bfrf0cEUIJgIyN16CaRhHfTVrA/jHeuEA
K/dpTBJ1V01EbcOa3pCCPj9BTkzehakNm9pzy3vVRQ1Dxk7yuctp55DO/dX1kX7jM+3OZTt9FF0H
SqucTIUZKyQSVZNy6xCTmr7Ag3TuhwI7GfuI1H0tpxYrlK4c+7AQoNnGjh1uBxStjmZ2G9FX3Vav
6mpHhM8AWEXAjTTgh2UjXmUbKss+87UrHbIhJ4waz47Qu5dQbxDHNlF2G/lWddUQgUsvHPsgFSqs
j0Mftr9wdf8tNvkvXYs2Crl/fi0GH4R9//lKXL7oVwGmi54E2KpgJ6h/yil/uxJdhysR5w+LQsQm
vxdgel8IN0WCyXXJAfU7Bab3ZdGeoJmEiWjwHf9SQNxyt/58I9q6ZzLGsm2WTfYibfmDLBL8Van4
8apdUsfzxAigah+6Phpe4r7tb6xxeOi0WrsgICEvgvDYElIBfiRRGhEUHN6iryqt+7e6KpJDmPrd
Js8IUJ9nMANAy9l6ZwkbDUcfL3x7bhtY/LfwYLIP6Tjfhq5xAiZG/5e9M9mOG9my7K/UynGBCzAY
YMAgJ96700k6G1EkJ1ikKKHve3x9bVCKCkoZTxWRWpmlQXL04kki6WjMrt17zj4aqfDkpdq5zE8M
fb27Uvg5ODKj/kiOR/qcO+y3wOIBGHlxfMKadBPDcjtP8AstBtPu73F76ujSJpaAAFiHSz/iNs/d
h0GDO0uQ2owwKDGN0CPa6hnbPRYqsAN1weBmLG/1FBF1UDMoNYvGZfaIMaol++KWRpi2rv0oXft9
jQa7aiwijONyi5eh/ygA+Oxq4SVfXK/IjhA9gxdc0oBPR9DTbebUd1Er0m3kYfBZSNsEcNUBzkJa
MdAAI5vBeIqxJi5tyelPLx332BtDD2t8avEo12UzPEEmntMmGa8Tpy47/TGnTFroXoEd3vGNitlu
Z11YTfcWihI797gjaxJJDGoK05mg8E5uDvbr7SH/nyXh7y0JyLF+siQ8p8/Zm0ibdIO/WBr4x9+W
hlmBLfArooRmqPCuWlb6Ga//O9k2g4E/qmX9jD9hb0QsLAzhuHy7P0RoyLZtFhtUuxYR1wjU/sl0
wmXM8d3SYDmOCY2PoCgGIQ7zie+7VUWllb3MDAnSK/zSKvtSVda2sN27yKOCAXGwTkZ0ZB2GLJgF
18zLH5kAb1v3KeiR0Rqaf44T5T5u7W0RWhuDOO/oOEXVoekBOypIfF53EfT6fQlFLZ7bQpO1jaYK
V9kyDxCTJsW5US3t1tnYPf+2zI5JVO1g3e9j27y2K+vSss1tX8pr6RmXYEqE7b9AEtiMhbumGXrr
aMXtBK7MowKXAU0H4r+S5mVKbkefKLuU0KPB3ijZX6jCIS0gPRqFvMzkcF+Yclk02Ykdd11wDk9S
esgIfRlL3k0jrUnHk3e1Dcehj65STwJYDmZTu1XN+b7dgnHEdeOrnQkyCsJd99RU7h2JOQ+R5JIh
ldqanr2HFbBmsvEJ6DUD2PQoKUrePXmnr9qT79j88036U5LCgzXfxBn3DQyfQdOPE6YxrUQdQJ9c
k0+48ikxU2hDfl9eWeN4pSqtXgQBvr9JrbUWAxx35ue/gPzhyPWm8deVzaRrFlsyNfv+KUI8wklB
hN6aM/xUoI112moz6Izlu9GC2x6IK+nF9rb1phMIwvsuC80j26m2T22EdWrxeSQEZTOhgV9ixgk3
yvDStZdPxyGpdkQyMdd1GIToeM7SCc04mSDpaksgAYxozPoILJJ1b7o0wXDZ57lngXsyz8sBORyx
cEyMa/FpJKVj0Q/TdUvq71QjGuLd+2iW4hzv6YUTEQpMgM8hLwv/a5z5P1pI/9709l/+rfln/X4E
YhoK8qdelmWARjfExRL8xRrJv/y2RlIkkcjsclynOMGpzZH9a0eB8gnLNgYGmxP9V0DxtyXSZIl0
4dOwJ6KixcDN6vltieSPmPXSg7BxbyG/Mf7RANeY+wXv3y4dpcPc/XP5LXQpf5TptoGtUj2dzwl9
VX5Iy1w9lIqMWQdQ3px1VQ2Pjaa/eLFRfUbwkD1R8bDbd0HQrmXdkxPf5dVaISB6qIwuP3Rp4a8M
J0xercRvP/7Pnv23jFXsXw6CbW7ev960PzQwGp/j+Zn87nH8899+fR4d40xnQs4shwh3np95Pfv2
PKozSxHAjNWK51JRaP/xOBpnkg0bJbeEYu7ac9fpjx3bOeMPcPB/7YnN/+of6Als9eNqb5iIEg0m
tay1jJn1udp/pycIPEaeNK7ElllYSggkbiLwrDjzka8p67kePXFtjLRryyLWl6RhZMNSj0dbbJit
N5veUv0RxnOIEVzvF2Bjy2VQfGinjGY1EctKxdYqsNmAVVN0L0HYNns9IpuDmbqvhUt3yijI8V5C
WxtTJ146KgRQQJm+yZpyuhJshwyFSKeJSHHMF2ztwQJW2oB8vEcfUFSf0VWhGlYzTdNNQ7TqruFc
6k0bHn2W5PUoopD8p7bcpIKSXTZpuK6byDmPTAOrbTBVyxIC6RY8l/sagUYhBoxBMaYyT27zsdVv
1RSGV3Fhl1vujFql5hCrhWz66QB5RKx0t643YlIZxGcGGOGC+ITnxDH4RXs/ibapwxx+4Xdj3KPH
7LDyWq1z3ScRaYhlQVaYI4sXPU3KSxljr5/sp8bVL6Y8ZNIhkx21w7HrCLyyxutAI83Zku0J684F
CSLVapCq2ZgVW5Dtk0EMtBPDsmYndPO1tKDRNvTNKog9+66xFJ1LzkCevsKlci3y6JykWwdyWSpX
XmaRsebMhLcgHalLGreC/pq1In/WTG2EnFV5Ty4Rc8RoOcVpqo02X05Cs+8SZrSHKhprKCiafoHj
C1CB3phAGp0mRvDlGvHeTge16+pS7Vilug8duz7ZPgzQCVqcmBOYmnFk6dT2uWCgU5uNB9fCErTq
bFEv2qxXH3skDOcZ4X/AAgKUaYCMR6Kx0vA1ZC1d6zyVOzfIkXbnVpBt9dzKnjoMvVcKrNMiwQj/
UhX5Y+OM6tF1J7VVaRbfpFgZTjii7XtCFhISvgL9iH5VHdFO+oiV7WBFfseRRqR/7PQh21Slqe1c
vY+3+PTFtdISKI8D5gDUGTFPtBWDzjS89tLJgvgiGSQTnCQGsgyK2ziOSJhJGzQidd8oEaANcNGN
5WU43hK2N+zTvjZOwkhaSTZn0T2bltMfKHYkcr46whIxNU996vVHL3PrHQZJ867WHS2gZsl7FIFR
9ZTYHtKYOJrqctkNmlVeunqM2czrU61aQQSvF4gwNIKFezAgXu9A8G3iAZWuxo8htL0/dQzs72VO
SBtSGW5FGQ+4hWufDZwsajMnfY0WsQn34KAijL4anLsrlgvEi3EowssosFyIXjI59c3UHDvEU6fB
6JBaCohot+RMGAcZN/UsDTLyTwBX/Cu9GeGmCyMSsOpKwL0DI7iFaSjtHPc2seO90ecGPzSLrgTe
8wuvm+JTXfXAS7whWzeJAZLYkcNOqZ7gskbri2un6L0rh5HYMUgdxKMFPO9FDaNgg9GO6SQ+8vAo
Ig8yZD7aR4MD/bkOaHuLpbU5ZnrRXwS0Gp+sIgFrDEi3M5di/FAgXyZQsjC9O6NKSfEQU771enre
9EerW4ux/SqUHUrlxAi3mFl4t8Y+jS89P+mvyXgdrqlke5wxedUsC1epFUvqGlrGTiv1CpZGF+BU
8PQd+iQSapVWngzbTU+hpaz7UqN9AWYm/9ybKEIWeN5owE+OdsugTVx1tbDuDa/UGG1z5D8HD1ID
CVERg3LIqWVmml8ILXGY5PbFvZXrxkojFek+DIgQiplCNgtCEqe1ycBwE6GcxNIZBxu9DnpUD34N
2a6KyGNHqX0rVeptgsBpSMF2+nGfx5l59NNw2o6pbW0dt3E4C1bTyjcieOFV6z5kWqU2ZS3aGxQW
M3Ca/jryXvUQ9ka6Tf0q2KAiLS+FjdePgfOMrKZZj/AufcKkA2TESdNTa3fhFpETkTUT0e8xYt91
2lUmI05NiX0Vd+XagL4ll1YSB4cYXtoBVF+JsdOp9nIy0lOB75AwgfCTqAZnaWf1oQhorCp2NVD6
T4U5lQMyYXXjlyiR0mHck/bk35VR0n3Oah1ceWUO26aaye6qFaWxtscJSI1OyytgaII9QkO37qPY
MYtjobRmOUlYCFWL4itxaOJ7OnJZK5oHxyCgpPlQwTe12lC7MPJul/qIeVToXwxknO5YqtfGSIcm
jXAho8uu1k3FWdcYkqxYY4eBtmnolpkcYhpvSEUcnFJBREeJoUpLIEMTJXua1PNnMfxsXQ0oydFg
PFEUszK3uUJg25tDweADv2lVT+OqlWJai7K3NpmbdjemhuNrjX7V3YEyQBuPD42m+eAueugGE5bP
JG3rk16znxHbFnNqIg8ZEkd6GAouD/p9647i1+SJLeQFAyUTUYlXrIw6G8+NXmwbc5p2djdMHMZE
8mAM3us8bktS7zkYVL3rU1oATqbtYFcuGukvSysnrtKQObEPmnkD+R0/VZTrt0BQoR5XGrDUQJGi
tYBkS0yPFehyZWeDAdglFLhudO3L4FX2wYAYc8/7UR6R2bU7c5rPhn6bv6YNkSGOKNCCiWLiaGLR
yAiy01ygz060ae13qXfLDUi5pgglSTfDkeMIcqxlXQaXho+GnL9oEnQ4oFDQp/wE/lY/or5JH3ow
NOsOaqq+1LUO5ngvMLYJu2EQ4WLO/5JqpknqqQbFJ44lam2zwqTqO32IsCmz5ZbYpmCfSSKZUFqR
zhQMEjQxYwN9qdWZDcvZzfIb6oswu0h8TQtWWgpXZsEysAz2es2waiXKMuqv3GGoDsyhEpzYZvg5
ZcWB4CrtfpkMpQNxzQ4/mGmKxIZyF8yEYeAi6nCMCWy//DdYiNQLwo0ZCbgeechgz9URATki3Olp
KNat6oubuu+v5tDxDAU1P7DeV/mQr1qwGQtHH+JFQ2lBHzP2l1XdD699OAxf+kK81kRGPqmke7aL
To+h7/j5lav59g4uODkLKgyXWW72R2VW+L4KvTufpKiI94V2omqg033C9lTrrXkwS+dOTD32D0EY
q2g1Z+UBEF4FNYGDSVH7AOesbBPUbXgeZVl/1RietvWIaGQAljbb3jJsJHjYJ+xo9F4ds4QAUNHI
yoLJ5Da06V1o5WQtmY5/0lGXQLTvmo0WIRFFjm/f+sqvjmbG1rmMxBStLNkkmBg71z+Mmuo2tWpg
O+PSezGibljTlPJOaVjR8O1ztaxYorAQRNZlS879Uks8QCYlwWpeYqLh752MhBAUUtZ6SpDfW3Gn
5UsR9modeHqwATLp+VRXPf0SN5fnyqk60FWD3KWDbdx6jRusqwJgZIskaGeNMt7GY28QZkxPvBC1
Sfxl1+/DxMtPqk9IC23tSVRzlEP4YIVVsyv7GAEsYS+rQYRQj8NMLeAqyns2OsyNduVwOghtsZak
NR9CI3V2yoPG3pKR9cXJYufCrq3kQxdnKWSRTF8jCiPxJoZ8CPREbphU6vsMCs9Kxp7LVjOCJaEa
MHEGZcOx1ptrS6831Kn4/RRRV0CTPmpevqI7GVx2o/aIjydYmH6OLZHpw8J2KlifOYeWwlb1shD6
cCiw4K8rD4PkYpCk0LU1znK7TbWcSM85AD5tkv5Gjy37TpeTBV6w8fgEg1pAP/IO706Wf9GUE/+h
KfbjOe2HppgGXifqdXLpQS0hRZ5x9hrpWkDKnXAjrChfwabRPpSuGO6wvrkPo9MVVyKY/HNnFOWj
R5rQWjJVh79kCX8btGNxN5jutNEt8qdjFYertHK1U9ZVIuClDSFjS+4ARnxJKUGAYvhAPxp6VZhk
0MFFk22LDpKYzGIisUPtk2/n/srUyF/WIjJFET3dt2UN3acprLWHTepBtC1WCwMOBfxQFG387sss
tqxLmcTMMC2zslYp6vR9FSj1RKXuby0BVZuQ5+e8s05tg8CCCmUBcDJGRyfGlTUF43XXZmRvx9MR
FSPRjzGwzwX6bLLtYhonNtPRamLZ9ivrVTQlcCmNvDM295SicN1pRv5xEmkCGzl0SH2tArs7ekqN
+6Ck2oXSIOzrPK+7q5rctDmc0/AwTsXiM6K48LXwpg6NtobuuAnETT7F9BEBRCwmmsj6Oh87+1w2
rbazBPSmOpryEq46zlyAefrwuauHhzqYyk3WWuFGVmmChLJMNkCmwWwWlrkwCURHH2KR1VuiL1CL
1oJR2uZdvUaZEV5NccYOHSBe9Di/nkLwW6gj4bDe8KK7+8Ed+r3IJT4snQrbQJ34BZ0cpWDa98Nd
kPaWtmypF3pS6skiWDpE7JJhQJ3dvZXcyVv5LeZKnF2YojwqemLqm1JsdM7yyULvwfObcyWP0Ym1
yZnre+Ot0gc/h298rv97zWmO7nwmiOfTQTKfE9qkE1CFfM25YsxnbIrcrQnT5oBRvZ01bCozFqP5
CGK+nUba+WCSzkeU9O20QuDhsO2rgM3a7sUSQLw7R12U2toPaFS7b0ce5+34Y6gqK3ZNqQaMRLZx
GCoLoYIsgPVWMQ8uOpgIcoShngvAHwsXBwX59F1zkvR9tyPzObiw83lrKqfbAi/WKtGKG02E4a7Q
uGAmtJgbdAaS7HQqZW2sB22RUwof1ACcugs4pMnKQ+LWRi0pLkzioB5zH8iO0I2PqEesZUtz8uQ6
vbovuQcjMVccGeP58AjehnNkHBHEEsQNnQIOmaS7R8v+7eRpv51C3flAWiAH2JbzIbWdj6sIH9DE
cIIt5qMsEABu+3y85ZecD7oceav58EvKcney5wMxXnu1tTTfecxk+TjUUfxizwfodj5KT/OhOpuP
14B4OWkTLzvugvn47c4H8fHtTJ7Mx/N0PqgjyxHnJP2qj8N8jG/eTvQYyDywLBzzp/nAH7FIpx4e
yQbDdgpiY+4MxHOToJ3bBdbcOBBN665+vqK+RQG+b8QaUuguQ2yb9ptkMobu7H3jq3Zdk0NCqW3H
xpGHLA73jfAcAPBQ4MWcbC1c0zrpsmHsitJLkCjbWttOKOOxxqGXLSvUsq9j1/aHNJHjueYYCOPp
5j1QGOT3plMc2zCr8V8S3E3x1N9UaQOPC6pQzD2NzNmGPsY76Ic1R4EmwoNp+5o61A5CJqwI/Fam
KzoqK2/KniuMeSV7jk08yzQvZPHbmgYak/Vtelvr5Nu6F8xLoDsvhj+/YG9W5O8u2FunkGKa8b9Q
yqJF/v6CuWS3jxI4wJZkkNvpwXwon7WH8qa/rK+hGWRXWnL5858o51vww080dChPM3OKpVL98BN7
Giyp3YTeFq2t95LgmmzQpUXjZTyEk1hSSRfn1ViidUFaELwY1tSsMcvEX1BzDQRAjKG3yaIeWoRQ
VNTryTPZwwVh4vp2guD7EUaBfYfli63OznJsP7FUDp6OeKxIYMnLI4Z84nlQZO+pZFifaKcsbIUx
eZgQ+lJ+0mxIow1JoeVmxBl07uTW9GT3ERFxGBP2XWk5W3LktA9pCNKgbbL4Ggepfy4IWCCJjYL4
NnDtCRFOGMFJ7Yd+FQ1hdQ8jdV6/UpH8N7f0f8PRkZKGqUMYQxLDU0KA1s9NgMfnV7r271v2f/kN
vjXvGZDTbYdsZbsSB9+MXfnWvBdnlmno88oh+R/iXfdenek4NcCU00z7ZhT8Y5g0k4WVQ4wbUyYA
XpR5/6B778zpmO/eEA2DoppHtW/V4ruuvUwa8tfiJtglvUrnNR6TA7syfgfoC4Qnm25Gqr2WOdvW
rGoc3JY6oJoM2kVnN9FlX8yn9cwZrXSlGIreWxoNy9p1xvsiSl26gGStFQR6pfiAQvpaNwBV6msV
63JYqihlOzAVHeqSFq6vVcuiM6B/mTpwwTpCifOCZ0Ar9h2E7wu6UeaB+OX+ufPG7KUIYgtfjoyK
bZ5meKQnK5wziLsaSnk/2vYT0j8OGmbuDuN21BuyBUWSdOUe862nLdGtSZKscAuUh8ixw2sEopa/
RARQ3ll4iW9bRw0rO25xpkFcsh/FGKenYTBGbTl0Iu6WVYQfZSNGogvBPgX6YxmNuOdc2hvMIwAy
3AxZSJCAxRL9KbK04eBGqTwYGMRuLM3K1nNtfEvJ3X7Eemed0PCmNyplIK010t2hQZi2c6d4TQyJ
8o4digPaHBZ1iU+UlECY4Gw6hLNQYUUbfHJ7wsV3KHAITEiE3bFDxP10Xmi2+aWHmHBL3s70OexT
1LJA3MpHnDXyym1H1BRBHXnVMpWR/0HJBG1x26bNKQAEf4ljGz6xO6CQWLT+2G3jhP4yKoOu/6AM
W7vHvE81CH5V/0BDEtisaxNztw6pJPB3BeIlMvpyW00OHBrRkLk56H59AlbJASgn6kmt08JzmaLE
zRH7BWlDpQmuS9FhqveSLAlciUbWPKV0xck2k2392U+94c7qcngWtWwg5NA3dJaKoKEL8LIQguHL
JsmqcSXI2jKq3SuyZ5KSvTBi6mS5HRa6UUvykBhmNeCFGctcroke08xNKif1OYtMT66YP1jeEpFj
Ma3tUkAK1dw0yheNVRVPFKDBgz6j/e00HLKr1BowIfLW4Gaz+yTtyTBULQcUrxraZUhVw/XraBEs
8RtltHWtMbixIFdUXH3bf0hr0/sSRoUaD1UiCKX07GZHAkRrfIJ4p9ODo9jstmbqTTxSg9XkhBCZ
AWMf/CnH1oVVvfCSBGNa39efWjsYMOsXbbbSw5T/rkWtHQ0tJIWja9HJyHyaolMTdDba8MFjGtOP
6Yey8eUrueXh44BBjb4Xs7uCI3aa4DkFVhjpWiyXcxTmvgjww9MYhIGwCDWQoyuarQk4gzxusL26
frsZXZ3cH8R3zme3q2wIbrUL4FQlFpO6oVHXhF/Xe9xldTd3/IZbLXHrF7ey6o9RFOiXpBxhWWrr
Bo9IMBBrUVRud00cYP2xryxrgZmSCcLEltklzCXXgxPNGOvO69apcBuiFvJArkWRJVwLKEXQpKOu
+AiaIj7PjNgK1nZkEysb0YVHWe8T/GZ4JgZknsp+kdAjIavIAtfTRcpe23XefcIzRyyEERGatQT9
3VwkcTLe2OBXgQB5eeGRKjcO2znbcGsUib6Hat5T/3MbHys3nl4brQbwLRp9vEBcq120BMVeuPQb
6SHmUt30aRHedp0GzCDpbGOv9/a0kwCtb0Kn5+DIEZIeZJ9pMJTb7GGWNq+7qQ82Nfbgu6ZlyYH+
408bglATBkRuQdhZo4OoAGsVPVGo51dRUlnruvTnoPJh2ENlnl7b0YToPQZBbmzjODfVwu5G7j34
wQD7be8Xj0As40ckBgIMsUnc69IaVLVgDW8+cHeGOareN64AixAKksAKPmjW0NeL3qlNd5s7dBa8
UIOFoFPDFjyrUf7CSZ2Bomx5CEu9JWoFeVD0ZOSyeLDKntzWsqxyhjmtbKyNpDtEXnscgaNsFGfZ
rSj04r6OsMrdCCdPG26JyaKDxqmkf8Dp6zyIRhrsiJ2NiTyuZkaGFSOIeJH0ptxX+libV0VZVBek
ZwL36zN3jFfkCbuXVamSlyHwgy+BVuWrotbDO19UNYr1BJ/BAvIylLPSi4Ilw1q1JgcMtpWP6Wkn
QSYD0cqJfpNdOdAgwgl5aPuOwFKrS1LMeHmTXwLUJnAG3jbOV8cbTn1RmtNKA4a+7VIYSwa8HWg8
bSKXJIJaw6Y0zehoVgZdFJE3JmI1M9h2pHhRRfqkatWMDqu6m45jRGp9m6YgLfVS4uwv7TR6UWWc
rfXEPO+HsIeZmeAzXXCcL6+LXCF3TZgQckjRzaU/NhaC2Rh0xiKnWYRLXuUHXhsr/5gymYqYWtc7
ZVOS0smwF6ORPDKIcKFfzGI1wubIJMnc5BCYPYdTBjdljO7fs/QFy07GOmRp28q4MZ3hWhiwRBy9
m14TdgM26rC5S7LEOSf9Z+6seM4Sw0Fzk3lt90Wy+WyBBdN6dYG7Ye1cTZjud1OPQ1g0df3BHCxz
58SW4tVNAPQ36KA/w0Qh7YuRtXtqDRQBBIm1+PPp0B8Mj367PYYtQwYD8qIJ6A4QXRgNR5AjjO78
XMfe6TGBtVjI5/zdslgYg5+PSzhxGlxk2/DiZUD3Z1tHoxuRjlfG+ynEawLCNDkMPGpHx2mi88kN
5XkbtLApoUvUDy7P2aq2MueTjToi4+ggyyuZJs4N3TIFRb7JgFMXnrdgQCVeiXYSK4+s1usygg5Q
JlMo12kMuUi3muKDniEg61tuf05y10MaxJgeehFPDO1sX18YKlKXWezan8gdQFtYubiP7aopZoEg
uukG+XUp4GcOvlGcbKxIFxnTeLwyceRf1lat1mauAprWeliTy1KYDTWXUE/EV0NByttk+GDLmUdj
9an/2QvKAHmiBtCuLRQG1pS3EGReY7CBYmR47OSoECEB+NGkSR5eqXv+oyLUr1z4YTc8aXagPcWt
xKsaNRG6SDeyt4FTKLKEbfNAMyr+wu9bnbBUjy/u1IYQH4qxpjwLwa0tusppIET0aKKjureilenj
817YqA+vHb9yNgoe6v3EkX6jyix9dgGfAtascYksmtpjqOpVTVYtRWn6W25VfzR8H6k4MJ/qOmRC
WFK+2KApmilhpRL50CTg8YIqZJattfm2bZA67LEK6j6EnMFONokRGJd1UciPQvXEx4iatscm7NIO
aGLl+OYiFDDcQ1+BKMzBKTQrTEIVsH6QruaS2SBsVm/sq8e+CatoVdF7yZfhlHgXdMHxtlsc6/c8
Ie60zEXYPPuBYlOj42fcxJ3i+oNvkmC506iFzZEm91IG5Q1MChT2FeehmwiJ/aozOn+pCV2dh7Xl
XBmMgD6HRukkiEzrTKzZdzMWQEHKH0jFyrplKBoGa6I7eOv6qg4yeOgTcYGGxhHmhO2tw5XTWXKn
EpHnYPpkga2J7B78T2wV3YUIa5JXuQu+vxzcXG1to3FukkQU5Wpye2da5G4iv0Sp5sKexGf1wbW0
8Tl0NP3VcZK2JVt0YiePGZ8RMjgwbFmUbTkU+KajYp3UTYBkJvG/IO4Pb5qJDt3oFka4ocacaIA5
4XpSeXXdOkxvKhp8RyMjEGkzUrVFKzlAuyfhzmGdamMHCkHtPbt9KW70jBJjTdXrassqda1kPRQ2
syfG89oXSCMTNVpb7emEJWIx4WHaaF42rCtl8ppI9mXCaQcIkmWk58+mWxbiFHV+siZ9G7dVIYZT
riewDLMi74mkKioQ9DxVYumlZXDyaLbtTdysVzGxnhUSF+ZOnIBECXMSUUa3VHxL/0MUSn4nQkWK
+wL6R70qoQF/yemc3lRmgkEKLB9dSK8kuSXSJii42MyramA8albNmjRtuJYekTkEj/rQ/31SP9ft
RMAAEOnYWli6XzwHiVadx8OEC3cwmL5qDRjDUcJ12pJJoIYLpNzaHRACvosT1Nbep0PCkYwz5zyv
bb0DIKbq05i4FM0TFMobdm4iRE0i2M7JsMoY7uuwkMl9M7e6VhNAWhLIoNhD1n4lyrUtgnjAoaim
vYyCaEFeQ7t2c63DZlG3F/zS8iBNoT9QB5RrN3azDSA3EPtWk+QL1Xs4OFxahwSIEdo7RHF7k8uW
5klq0jEiOIu2WVbq4bXSp2RtFERULizHtc71VFBOWbG3Frb3Qp3qbnXeyXXeNjTWXdd/ElXavIw6
U/WFBhd45Y8ifvLrXF37k0HTjtNBdOhzotgnLU0BZDbDHXEypzFogBiiA7hmHMZ7KQZapZ5tDQen
7PqdLBL/3LaLmOtuh2RGkLuFuj20tnmsi49lNcFcyMPcniv01NwEus7IQkmJiazxI6rZONRfLJaY
XUhZCrhsiOoLZAgko3WkRLRVB6laaGHUrHxzSvakTlJEM4LN72B+OhtKOPtk24O8lVNu7pVda6e8
Jg6ht3MckX5kd3elVvj9gpVX7G3fcdZq6II7Xj2P1EUxsbR5bcHy6NP+r9vODRdJBscgG4sALmVg
nzBx2sT4OQ5hMKatxxeWZra7IAzMy1BMyM48utdXVVL6zHB0sJuB3qq9l/ojwXNt1NyOIgk/gKbu
TrTZrE+8u8bJCCr3c1kH9YbwOI/MdzGSj6D1kv55k1PVG3G0t0o7ImdBJ91E7+hlpA3rVdi2AtqE
k5LklbXBqs3SFJNoSXwx0Yd7UdgF41M5nGsJHzZWfJMFHnKcsY2fkxHKZPVjxVYX8NMYzui6MQ8b
cUR6gujfJmgJBhpbpqMwRHt7U8YRLX5TDBc58WT0FalcrCX5I9mdkRqY/2QXnXIpvigOg+zKsDvq
1dBqzZEWq8IAIat1F8dOdoOArL+32ZS5l1OZO5u2y5vXmEbs8n9zOE8KLzOTnTmCvG6SahhWuh2R
jYxzClwmW0qLHjLS6/8af99/QXTYN5n86rl5Xr9Jea/bz9V48xnTcVP/0Uub//SUh1lzl//n/tLP
v9G36LD/l/EHbR5T2u8ExG+/1Ntv/LPvkTw3YdO+fv73fxMukGjHoMP4b/8LiqP/7f9GyG5i6ZNY
0/W3r68/5921+Vef/ucf7Otl/Pnf+e4X/8RhtZkvP/G02fuWKuX43/voP3yHdx+dVikCT8fGZPT+
o7uzYwn3kxLY//n6//XRn19TiCq4nqvwU/P+oysINAyV/t7H/+G7/PnxDWv+nLg28Wt9/fr+Msgz
nYGba4tvl4EHhCftv/8J+OEDfH57J99C9aDd/fo1UJZlGY6LCO3t6/tr4J65tiVx5rMbz19fH7nf
6Rp88wLgcPq1ZcA4wzvgQNzFvDJ/oeJ/9044AoeBgXRW5135vZ4Cnt+vvxOOI/9z/n8X5n+yBgJX
RAmCgcv8yw/PH0PnAN7+2334eTzzq3eeld6Ss/PoL5cBV5zhxsZM5OLh/C1fgXk1FOYvPwMCwKYg
cZOh/dvX9y+AMs6AZ+s2Rpavl+G32xSMbyvBry6JwjzDFmngDPp2w5kIvl8JrDPLZhwqOK28fTGu
/L0WBI6Fxq++FAaMVoQBQv6Lp8E+M1gxWC9+15fCYLX6emf+88uioZ8hi3BgAvKd3j0C1IYY1wRP
AZlb89dvtywa80z8V9dFk+m7g4YMmPTb1w8LgnNG6YhoBA/X29dvVxpIjKi/ejow3DNJRTCbWf/y
IvAe6I5LVtjXazCTPH6vxUDg9f6b54Qf6sw/C2Whn1noP8C4fVv7WWLfvQ6OPEONzhaqf7tGv91F
MEkEZhX/tQJxzhmalXHG1wfhxwKRa2Tb83Hqd10ROcrov/ok4NR2uNdA2ljy3j0CyjrjkCDhxf25
Z/5m74ES/8H5/o9bBfYZNHBuM37it68fLgIcctYBAqe+rYi/33vAEefrL/ULmyJea0otXZ9N/+8f
gRmBpGYw4NeN5/c6IxKLSa3yi0uAoc7YCmfm4Q8f3T3TdYzkrvVtG/g/zF1Nb6MwEP0raA89VptE
alOtWqkfUtPPjdpIe56CVZwEUtlhV9lfv882prhAku1w6DEEnoeBGc88mxnna76QBrC5bsB98IiL
x4gFhvCCbrILlTA+PjxBS7QRqps44/iPt38PTVXE42WKQguWcpRCtzGTXSd4zq35f8m3WUoFpFpw
omEg3diOdzG/z4KZ0jJCtT89Q2THKS8vb7A5dDCWvyt/cCKFIhWjyailfEoxHykDbXmeJym6zk4V
JUKndXIM1Q8wP78LdPotELdmA1vxtabMwxjNuEybC3shU1J1WMdecGEnpDaUUx144LhhNrLMKEaN
1VZNo3SOKSnXXe+iiji2qfqWsqyIDih7+xHdEb6Tk4GGkGSZCI47yh2pHJz9IlSSSxXZ2HhPlx+A
bfrFBb6nhU4p+SPEm9eAtVKz59cfaF0j2EvxD5Skm3YbcvkTV/yfiYT4XlBrRS4c5wJPi6SIU6HU
JgA3xQf9gc+rZVrkc3rxOFZqFzpypX6iOWE/AQXLGPjUwQRmXOxnuVjIwGGNvo9NKMIFnlEml+js
nRQey2gE9I+JpLjgtsBNm2spMxYu/i+h19GFyNF71QtrpXfhABf9geDM4bDWKnjHy7ybi35dzIHe
WPexTCcbexVIXK0ncXExK1d1Bh9lvHpBO/gbbfre6rr+wZyh9XsPb/25KvLu6Qn7TvDxVR+OUv5d
qTAcALTpxgR+hauzmTINo4LnUYL3YL1XlCBKgv5hwahqFk3ot1hKL7SxBTvW6LiHh7GjxTEzStje
WIsLvqOOPBN+Wz1eLnRlb911PZlD7KyJx8ZPab2WulF1731pk2tjexRSY97ELaaCzkJtPeQjMwEv
+voxxj8a+MSeq6F9P1ljqqndH0WYN6KrrjcZGTVIpfFgOATHBgoS1Wm9A+sK8tryzWrrQjML9ZtS
2i4LU2xzRrwUpM7+AQAA//8=</cx:binary>
              </cx:geoCache>
            </cx:geography>
          </cx:layoutPr>
        </cx:series>
      </cx:plotAreaRegion>
    </cx:plotArea>
    <cx:legend pos="r" align="min" overlay="0"/>
  </cx:chart>
  <cx:spPr>
    <a:ln>
      <a:solidFill>
        <a:schemeClr val="accent3">
          <a:lumMod val="75000"/>
        </a:schemeClr>
      </a:solid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41754</xdr:colOff>
      <xdr:row>30</xdr:row>
      <xdr:rowOff>176905</xdr:rowOff>
    </xdr:from>
    <xdr:to>
      <xdr:col>8</xdr:col>
      <xdr:colOff>313151</xdr:colOff>
      <xdr:row>48</xdr:row>
      <xdr:rowOff>147053</xdr:rowOff>
    </xdr:to>
    <xdr:graphicFrame macro="">
      <xdr:nvGraphicFramePr>
        <xdr:cNvPr id="2" name="Chart 1">
          <a:extLst>
            <a:ext uri="{FF2B5EF4-FFF2-40B4-BE49-F238E27FC236}">
              <a16:creationId xmlns:a16="http://schemas.microsoft.com/office/drawing/2014/main" id="{F4BC6183-953B-7E65-F76F-3472B7B32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155328</xdr:colOff>
      <xdr:row>30</xdr:row>
      <xdr:rowOff>182823</xdr:rowOff>
    </xdr:from>
    <xdr:to>
      <xdr:col>32</xdr:col>
      <xdr:colOff>53473</xdr:colOff>
      <xdr:row>48</xdr:row>
      <xdr:rowOff>133684</xdr:rowOff>
    </xdr:to>
    <xdr:graphicFrame macro="">
      <xdr:nvGraphicFramePr>
        <xdr:cNvPr id="4" name="Chart 3">
          <a:extLst>
            <a:ext uri="{FF2B5EF4-FFF2-40B4-BE49-F238E27FC236}">
              <a16:creationId xmlns:a16="http://schemas.microsoft.com/office/drawing/2014/main" id="{286AC91F-C1F8-BBE4-31AE-022C0C658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41753</xdr:colOff>
      <xdr:row>50</xdr:row>
      <xdr:rowOff>39256</xdr:rowOff>
    </xdr:from>
    <xdr:to>
      <xdr:col>8</xdr:col>
      <xdr:colOff>302711</xdr:colOff>
      <xdr:row>67</xdr:row>
      <xdr:rowOff>160421</xdr:rowOff>
    </xdr:to>
    <xdr:graphicFrame macro="">
      <xdr:nvGraphicFramePr>
        <xdr:cNvPr id="5" name="Chart 4">
          <a:extLst>
            <a:ext uri="{FF2B5EF4-FFF2-40B4-BE49-F238E27FC236}">
              <a16:creationId xmlns:a16="http://schemas.microsoft.com/office/drawing/2014/main" id="{4FE826FA-8CD2-A6A9-097B-A32180E0D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572829</xdr:colOff>
      <xdr:row>30</xdr:row>
      <xdr:rowOff>181587</xdr:rowOff>
    </xdr:from>
    <xdr:to>
      <xdr:col>17</xdr:col>
      <xdr:colOff>1015999</xdr:colOff>
      <xdr:row>67</xdr:row>
      <xdr:rowOff>120316</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E73D1CB2-E949-EFFD-0874-0DAB32ECFF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297729" y="5667987"/>
              <a:ext cx="7316410" cy="67052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170509</xdr:colOff>
      <xdr:row>50</xdr:row>
      <xdr:rowOff>14977</xdr:rowOff>
    </xdr:from>
    <xdr:to>
      <xdr:col>32</xdr:col>
      <xdr:colOff>26737</xdr:colOff>
      <xdr:row>67</xdr:row>
      <xdr:rowOff>120316</xdr:rowOff>
    </xdr:to>
    <xdr:graphicFrame macro="">
      <xdr:nvGraphicFramePr>
        <xdr:cNvPr id="12" name="Chart 11">
          <a:extLst>
            <a:ext uri="{FF2B5EF4-FFF2-40B4-BE49-F238E27FC236}">
              <a16:creationId xmlns:a16="http://schemas.microsoft.com/office/drawing/2014/main" id="{D3CD38DF-CF72-627C-74A1-49B76449A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283789</xdr:colOff>
      <xdr:row>31</xdr:row>
      <xdr:rowOff>37319</xdr:rowOff>
    </xdr:from>
    <xdr:to>
      <xdr:col>38</xdr:col>
      <xdr:colOff>347580</xdr:colOff>
      <xdr:row>48</xdr:row>
      <xdr:rowOff>26736</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8507EDCD-9C48-44AF-3306-06D9B66224A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4561109" y="5706599"/>
              <a:ext cx="2837471" cy="3098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352010</xdr:colOff>
      <xdr:row>50</xdr:row>
      <xdr:rowOff>36762</xdr:rowOff>
    </xdr:from>
    <xdr:to>
      <xdr:col>38</xdr:col>
      <xdr:colOff>347580</xdr:colOff>
      <xdr:row>67</xdr:row>
      <xdr:rowOff>53473</xdr:rowOff>
    </xdr:to>
    <mc:AlternateContent xmlns:mc="http://schemas.openxmlformats.org/markup-compatibility/2006" xmlns:a14="http://schemas.microsoft.com/office/drawing/2010/main">
      <mc:Choice Requires="a14">
        <xdr:graphicFrame macro="">
          <xdr:nvGraphicFramePr>
            <xdr:cNvPr id="17" name="Payment Mode">
              <a:extLst>
                <a:ext uri="{FF2B5EF4-FFF2-40B4-BE49-F238E27FC236}">
                  <a16:creationId xmlns:a16="http://schemas.microsoft.com/office/drawing/2014/main" id="{92FB98FC-AD26-5717-46FC-05C1739D184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4629330" y="9180762"/>
              <a:ext cx="2769250" cy="3125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223448</xdr:colOff>
      <xdr:row>21</xdr:row>
      <xdr:rowOff>21677</xdr:rowOff>
    </xdr:from>
    <xdr:to>
      <xdr:col>5</xdr:col>
      <xdr:colOff>905375</xdr:colOff>
      <xdr:row>23</xdr:row>
      <xdr:rowOff>167079</xdr:rowOff>
    </xdr:to>
    <xdr:sp macro="" textlink="">
      <xdr:nvSpPr>
        <xdr:cNvPr id="9" name="TextBox 8">
          <a:extLst>
            <a:ext uri="{FF2B5EF4-FFF2-40B4-BE49-F238E27FC236}">
              <a16:creationId xmlns:a16="http://schemas.microsoft.com/office/drawing/2014/main" id="{AA76226E-AA33-CDB3-7517-545F097E7E0C}"/>
            </a:ext>
          </a:extLst>
        </xdr:cNvPr>
        <xdr:cNvSpPr txBox="1"/>
      </xdr:nvSpPr>
      <xdr:spPr>
        <a:xfrm>
          <a:off x="3685869" y="3951993"/>
          <a:ext cx="1911822" cy="5197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Californian FB" panose="0207040306080B030204" pitchFamily="18" charset="0"/>
            </a:rPr>
            <a:t>Total Sales</a:t>
          </a:r>
        </a:p>
      </xdr:txBody>
    </xdr:sp>
    <xdr:clientData/>
  </xdr:twoCellAnchor>
  <xdr:twoCellAnchor>
    <xdr:from>
      <xdr:col>10</xdr:col>
      <xdr:colOff>1108176</xdr:colOff>
      <xdr:row>21</xdr:row>
      <xdr:rowOff>60211</xdr:rowOff>
    </xdr:from>
    <xdr:to>
      <xdr:col>16</xdr:col>
      <xdr:colOff>120315</xdr:colOff>
      <xdr:row>24</xdr:row>
      <xdr:rowOff>8018</xdr:rowOff>
    </xdr:to>
    <xdr:sp macro="" textlink="">
      <xdr:nvSpPr>
        <xdr:cNvPr id="13" name="TextBox 12">
          <a:extLst>
            <a:ext uri="{FF2B5EF4-FFF2-40B4-BE49-F238E27FC236}">
              <a16:creationId xmlns:a16="http://schemas.microsoft.com/office/drawing/2014/main" id="{D5401705-CC93-FA3C-048D-1A1E4196687D}"/>
            </a:ext>
          </a:extLst>
        </xdr:cNvPr>
        <xdr:cNvSpPr txBox="1"/>
      </xdr:nvSpPr>
      <xdr:spPr>
        <a:xfrm>
          <a:off x="11214702" y="3990527"/>
          <a:ext cx="3022666" cy="5092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Californian FB" panose="0207040306080B030204" pitchFamily="18" charset="0"/>
            </a:rPr>
            <a:t>Average</a:t>
          </a:r>
          <a:r>
            <a:rPr lang="en-IN" sz="2000" b="1" baseline="0">
              <a:latin typeface="Californian FB" panose="0207040306080B030204" pitchFamily="18" charset="0"/>
            </a:rPr>
            <a:t> Order Value</a:t>
          </a:r>
          <a:endParaRPr lang="en-IN" sz="2000" b="1">
            <a:latin typeface="Californian FB" panose="0207040306080B030204" pitchFamily="18" charset="0"/>
          </a:endParaRPr>
        </a:p>
      </xdr:txBody>
    </xdr:sp>
    <xdr:clientData/>
  </xdr:twoCellAnchor>
  <xdr:twoCellAnchor>
    <xdr:from>
      <xdr:col>21</xdr:col>
      <xdr:colOff>104894</xdr:colOff>
      <xdr:row>21</xdr:row>
      <xdr:rowOff>103992</xdr:rowOff>
    </xdr:from>
    <xdr:to>
      <xdr:col>26</xdr:col>
      <xdr:colOff>374316</xdr:colOff>
      <xdr:row>24</xdr:row>
      <xdr:rowOff>90736</xdr:rowOff>
    </xdr:to>
    <xdr:sp macro="" textlink="">
      <xdr:nvSpPr>
        <xdr:cNvPr id="15" name="TextBox 14">
          <a:extLst>
            <a:ext uri="{FF2B5EF4-FFF2-40B4-BE49-F238E27FC236}">
              <a16:creationId xmlns:a16="http://schemas.microsoft.com/office/drawing/2014/main" id="{80CE6DA5-0AD4-53C4-D06D-DE285B605E26}"/>
            </a:ext>
          </a:extLst>
        </xdr:cNvPr>
        <xdr:cNvSpPr txBox="1"/>
      </xdr:nvSpPr>
      <xdr:spPr>
        <a:xfrm>
          <a:off x="18539947" y="4034308"/>
          <a:ext cx="2635632" cy="54821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Californian FB" panose="0207040306080B030204" pitchFamily="18" charset="0"/>
            </a:rPr>
            <a:t>Average</a:t>
          </a:r>
          <a:r>
            <a:rPr lang="en-IN" sz="2000" b="1">
              <a:latin typeface="Californian FB" panose="0207040306080B030204" pitchFamily="18" charset="0"/>
            </a:rPr>
            <a:t> Discount</a:t>
          </a:r>
        </a:p>
      </xdr:txBody>
    </xdr:sp>
    <xdr:clientData/>
  </xdr:twoCellAnchor>
  <xdr:twoCellAnchor>
    <xdr:from>
      <xdr:col>2</xdr:col>
      <xdr:colOff>294105</xdr:colOff>
      <xdr:row>24</xdr:row>
      <xdr:rowOff>133685</xdr:rowOff>
    </xdr:from>
    <xdr:to>
      <xdr:col>6</xdr:col>
      <xdr:colOff>188271</xdr:colOff>
      <xdr:row>30</xdr:row>
      <xdr:rowOff>20052</xdr:rowOff>
    </xdr:to>
    <xdr:sp macro="" textlink="Sheet2!M3">
      <xdr:nvSpPr>
        <xdr:cNvPr id="6" name="Rectangle: Rounded Corners 5">
          <a:extLst>
            <a:ext uri="{FF2B5EF4-FFF2-40B4-BE49-F238E27FC236}">
              <a16:creationId xmlns:a16="http://schemas.microsoft.com/office/drawing/2014/main" id="{EAA98C47-166E-B227-99AA-DED397075CE9}"/>
            </a:ext>
          </a:extLst>
        </xdr:cNvPr>
        <xdr:cNvSpPr/>
      </xdr:nvSpPr>
      <xdr:spPr>
        <a:xfrm>
          <a:off x="3141579" y="4625474"/>
          <a:ext cx="2968903" cy="1009315"/>
        </a:xfrm>
        <a:prstGeom prst="round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480B1B-1049-4E1F-987B-8A0ACD4C8C62}" type="TxLink">
            <a:rPr lang="en-US" sz="2400" b="0" i="0" u="none" strike="noStrike">
              <a:solidFill>
                <a:srgbClr val="000000"/>
              </a:solidFill>
              <a:latin typeface="Bodoni MT" panose="02070603080606020203" pitchFamily="18" charset="0"/>
              <a:ea typeface="Calibri"/>
              <a:cs typeface="Calibri"/>
            </a:rPr>
            <a:pPr algn="ctr"/>
            <a:t>80853</a:t>
          </a:fld>
          <a:endParaRPr lang="en-IN" sz="2400">
            <a:latin typeface="Bodoni MT" panose="02070603080606020203" pitchFamily="18" charset="0"/>
          </a:endParaRPr>
        </a:p>
      </xdr:txBody>
    </xdr:sp>
    <xdr:clientData/>
  </xdr:twoCellAnchor>
  <xdr:twoCellAnchor>
    <xdr:from>
      <xdr:col>10</xdr:col>
      <xdr:colOff>1042736</xdr:colOff>
      <xdr:row>24</xdr:row>
      <xdr:rowOff>120316</xdr:rowOff>
    </xdr:from>
    <xdr:to>
      <xdr:col>16</xdr:col>
      <xdr:colOff>213893</xdr:colOff>
      <xdr:row>29</xdr:row>
      <xdr:rowOff>162091</xdr:rowOff>
    </xdr:to>
    <xdr:sp macro="" textlink="Sheet2!N3">
      <xdr:nvSpPr>
        <xdr:cNvPr id="7" name="Rectangle: Rounded Corners 6">
          <a:extLst>
            <a:ext uri="{FF2B5EF4-FFF2-40B4-BE49-F238E27FC236}">
              <a16:creationId xmlns:a16="http://schemas.microsoft.com/office/drawing/2014/main" id="{303FF603-C005-183D-6087-E4663E03DF1C}"/>
            </a:ext>
          </a:extLst>
        </xdr:cNvPr>
        <xdr:cNvSpPr/>
      </xdr:nvSpPr>
      <xdr:spPr>
        <a:xfrm>
          <a:off x="11149262" y="4612105"/>
          <a:ext cx="3181684" cy="977565"/>
        </a:xfrm>
        <a:prstGeom prst="round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A67722-DF53-4C33-B536-CD26C41F5735}" type="TxLink">
            <a:rPr lang="en-US" sz="2400" b="0" i="0" u="none" strike="noStrike">
              <a:solidFill>
                <a:srgbClr val="000000"/>
              </a:solidFill>
              <a:latin typeface="Bodoni MT" panose="02070603080606020203" pitchFamily="18" charset="0"/>
              <a:ea typeface="Calibri"/>
              <a:cs typeface="Calibri"/>
            </a:rPr>
            <a:pPr algn="ctr"/>
            <a:t>2021.325</a:t>
          </a:fld>
          <a:endParaRPr lang="en-IN" sz="2400">
            <a:latin typeface="Bodoni MT" panose="02070603080606020203" pitchFamily="18" charset="0"/>
          </a:endParaRPr>
        </a:p>
      </xdr:txBody>
    </xdr:sp>
    <xdr:clientData/>
  </xdr:twoCellAnchor>
  <xdr:twoCellAnchor>
    <xdr:from>
      <xdr:col>20</xdr:col>
      <xdr:colOff>481264</xdr:colOff>
      <xdr:row>25</xdr:row>
      <xdr:rowOff>26737</xdr:rowOff>
    </xdr:from>
    <xdr:to>
      <xdr:col>27</xdr:col>
      <xdr:colOff>240632</xdr:colOff>
      <xdr:row>30</xdr:row>
      <xdr:rowOff>66842</xdr:rowOff>
    </xdr:to>
    <xdr:sp macro="" textlink="Sheet2!O3">
      <xdr:nvSpPr>
        <xdr:cNvPr id="8" name="Rectangle: Rounded Corners 7">
          <a:extLst>
            <a:ext uri="{FF2B5EF4-FFF2-40B4-BE49-F238E27FC236}">
              <a16:creationId xmlns:a16="http://schemas.microsoft.com/office/drawing/2014/main" id="{A6D58917-C57C-9263-9F62-368BF98E7C8D}"/>
            </a:ext>
          </a:extLst>
        </xdr:cNvPr>
        <xdr:cNvSpPr/>
      </xdr:nvSpPr>
      <xdr:spPr>
        <a:xfrm>
          <a:off x="18341475" y="4705684"/>
          <a:ext cx="3181683" cy="975895"/>
        </a:xfrm>
        <a:prstGeom prst="round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EF89DD-C135-4D09-8FA4-00E4F531AE8D}" type="TxLink">
            <a:rPr lang="en-US" sz="2400" b="0" i="0" u="none" strike="noStrike">
              <a:solidFill>
                <a:srgbClr val="000000"/>
              </a:solidFill>
              <a:latin typeface="Bodoni MT" panose="02070603080606020203" pitchFamily="18" charset="0"/>
              <a:ea typeface="Calibri"/>
              <a:cs typeface="Calibri"/>
            </a:rPr>
            <a:pPr algn="ctr"/>
            <a:t>8%</a:t>
          </a:fld>
          <a:endParaRPr lang="en-IN" sz="2400">
            <a:latin typeface="Bodoni MT" panose="020706030806060202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akta more" refreshedDate="46183.47307511574" createdVersion="8" refreshedVersion="8" minRefreshableVersion="3" recordCount="40" xr:uid="{8FDD9E06-DA96-4626-AC6E-ED07FFD71481}">
  <cacheSource type="worksheet">
    <worksheetSource ref="A1:L41" sheet="Sheet1"/>
  </cacheSource>
  <cacheFields count="12">
    <cacheField name="Order ID" numFmtId="0">
      <sharedItems/>
    </cacheField>
    <cacheField name="Order Date" numFmtId="0">
      <sharedItems count="22">
        <s v="26-Jan-2025"/>
        <s v="02-Jan-2025"/>
        <s v="12-Jan-2025"/>
        <s v="22-Jan-2025"/>
        <s v="29-Jan-2025"/>
        <s v="25-Jan-2025"/>
        <s v="16-Jan-2025"/>
        <s v="28-Jan-2025"/>
        <s v="27-Jan-2025"/>
        <s v="04-Jan-2025"/>
        <s v="18-Jan-2025"/>
        <s v="17-Jan-2025"/>
        <s v="14-Jan-2025"/>
        <s v="11-Jan-2025"/>
        <s v="08-Jan-2025"/>
        <s v="09-Jan-2025"/>
        <s v="15-Jan-2025"/>
        <s v="30-Jan-2025"/>
        <s v="03-Jan-2025"/>
        <s v="20-Jan-2025"/>
        <s v="24-Jan-2025"/>
        <s v="23-Jan-2025"/>
      </sharedItems>
    </cacheField>
    <cacheField name="Product Name" numFmtId="0">
      <sharedItems/>
    </cacheField>
    <cacheField name="Category" numFmtId="0">
      <sharedItems count="6">
        <s v="Computing"/>
        <s v="Audio"/>
        <s v="Home Appliance"/>
        <s v="Television"/>
        <s v="Mobile"/>
        <s v="Wearable"/>
      </sharedItems>
    </cacheField>
    <cacheField name="Brand" numFmtId="0">
      <sharedItems count="17">
        <s v="Apple"/>
        <s v="Boat"/>
        <s v="Samsung"/>
        <s v="Sony"/>
        <s v="Brother"/>
        <s v="Canon"/>
        <s v="OnePlus"/>
        <s v="IFB"/>
        <s v="FireBoltt"/>
        <s v="Lenovo"/>
        <s v="Xiaomi"/>
        <s v="Noise"/>
        <s v="JBL"/>
        <s v="Philips"/>
        <s v="LG"/>
        <s v="Dell"/>
        <s v="Asus"/>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5138" maxValue="88980" count="40">
        <n v="35401"/>
        <n v="77924"/>
        <n v="37239"/>
        <n v="66117"/>
        <n v="88980"/>
        <n v="14401"/>
        <n v="41347"/>
        <n v="20553"/>
        <n v="54928"/>
        <n v="28406"/>
        <n v="52992"/>
        <n v="33339"/>
        <n v="21581"/>
        <n v="49101"/>
        <n v="10253"/>
        <n v="5138"/>
        <n v="6090"/>
        <n v="17391"/>
        <n v="64269"/>
        <n v="79906"/>
        <n v="40536"/>
        <n v="56312"/>
        <n v="52005"/>
        <n v="8857"/>
        <n v="37518"/>
        <n v="64833"/>
        <n v="69827"/>
        <n v="35626"/>
        <n v="5856"/>
        <n v="62996"/>
        <n v="77238"/>
        <n v="25902"/>
        <n v="33653"/>
        <n v="32641"/>
        <n v="81391"/>
        <n v="24276"/>
        <n v="86536"/>
        <n v="53339"/>
        <n v="85315"/>
        <n v="87273"/>
      </sharedItems>
    </cacheField>
    <cacheField name="Discount (%)" numFmtId="0">
      <sharedItems containsSemiMixedTypes="0" containsString="0" containsNumber="1" containsInteger="1" minValue="5" maxValue="12"/>
    </cacheField>
    <cacheField name="GST (%)" numFmtId="0">
      <sharedItems containsSemiMixedTypes="0" containsString="0" containsNumber="1" containsInteger="1" minValue="18" maxValue="18"/>
    </cacheField>
    <cacheField name="State" numFmtId="0">
      <sharedItems count="19">
        <s v="Kerala"/>
        <s v="Andhra Pradesh"/>
        <s v="Haryana"/>
        <s v="Gujarat"/>
        <s v="Goa"/>
        <s v="Jharkhand"/>
        <s v="Telangana"/>
        <s v="Karnataka"/>
        <s v="Punjab"/>
        <s v="Maharashtra"/>
        <s v="Bihar"/>
        <s v="Assam"/>
        <s v="Chhattisgarh"/>
        <s v="Madhya Pradesh"/>
        <s v="Tamil Nadu"/>
        <s v="West Bengal"/>
        <s v="Uttar Pradesh"/>
        <s v="Odisha"/>
        <s v="Rajasthan"/>
      </sharedItems>
    </cacheField>
    <cacheField name="Payment Mode" numFmtId="0">
      <sharedItems count="5">
        <s v="COD"/>
        <s v="NetBanking"/>
        <s v="Credit Card"/>
        <s v="Debit Card"/>
        <s v="UPI"/>
      </sharedItems>
    </cacheField>
    <cacheField name="Total Sales" numFmtId="0">
      <sharedItems containsSemiMixedTypes="0" containsString="0" containsNumber="1" containsInteger="1" minValue="12648" maxValue="422971" count="40">
        <n v="112788"/>
        <n v="422971"/>
        <n v="80853"/>
        <n v="68656"/>
        <n v="289790"/>
        <n v="74770"/>
        <n v="185400"/>
        <n v="43655"/>
        <n v="233334"/>
        <n v="159216"/>
        <n v="220108"/>
        <n v="186865"/>
        <n v="91676"/>
        <n v="254932"/>
        <n v="22261"/>
        <n v="16370"/>
        <n v="12648"/>
        <n v="75519"/>
        <n v="136507"/>
        <n v="169720"/>
        <n v="42093"/>
        <n v="119607"/>
        <n v="165688"/>
        <n v="45986"/>
        <n v="122189"/>
        <n v="70383"/>
        <n v="227413"/>
        <n v="113504"/>
        <n v="12715"/>
        <n v="273554"/>
        <n v="83850"/>
        <n v="53793"/>
        <n v="174726"/>
        <n v="101683"/>
        <n v="91239"/>
        <n v="79062"/>
        <n v="388027"/>
        <n v="239172"/>
        <n v="277854"/>
        <n v="370736"/>
      </sharedItems>
    </cacheField>
  </cacheFields>
  <extLst>
    <ext xmlns:x14="http://schemas.microsoft.com/office/spreadsheetml/2009/9/main" uri="{725AE2AE-9491-48be-B2B4-4EB974FC3084}">
      <x14:pivotCacheDefinition pivotCacheId="1693273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1001"/>
    <x v="0"/>
    <s v="Tablet"/>
    <x v="0"/>
    <x v="0"/>
    <n v="3"/>
    <x v="0"/>
    <n v="10"/>
    <n v="18"/>
    <x v="0"/>
    <x v="0"/>
    <x v="0"/>
  </r>
  <r>
    <s v="ORD1002"/>
    <x v="1"/>
    <s v="Headphones"/>
    <x v="1"/>
    <x v="1"/>
    <n v="5"/>
    <x v="1"/>
    <n v="8"/>
    <n v="18"/>
    <x v="1"/>
    <x v="1"/>
    <x v="1"/>
  </r>
  <r>
    <s v="ORD1003"/>
    <x v="2"/>
    <s v="Tablet"/>
    <x v="0"/>
    <x v="0"/>
    <n v="2"/>
    <x v="2"/>
    <n v="8"/>
    <n v="18"/>
    <x v="2"/>
    <x v="1"/>
    <x v="2"/>
  </r>
  <r>
    <s v="ORD1004"/>
    <x v="3"/>
    <s v="Air Conditioner"/>
    <x v="2"/>
    <x v="2"/>
    <n v="1"/>
    <x v="3"/>
    <n v="12"/>
    <n v="18"/>
    <x v="3"/>
    <x v="1"/>
    <x v="3"/>
  </r>
  <r>
    <s v="ORD1005"/>
    <x v="4"/>
    <s v="Smart TV"/>
    <x v="3"/>
    <x v="3"/>
    <n v="3"/>
    <x v="4"/>
    <n v="8"/>
    <n v="18"/>
    <x v="4"/>
    <x v="2"/>
    <x v="4"/>
  </r>
  <r>
    <s v="ORD1006"/>
    <x v="5"/>
    <s v="Printer"/>
    <x v="0"/>
    <x v="4"/>
    <n v="5"/>
    <x v="5"/>
    <n v="12"/>
    <n v="18"/>
    <x v="5"/>
    <x v="1"/>
    <x v="5"/>
  </r>
  <r>
    <s v="ORD1007"/>
    <x v="6"/>
    <s v="Printer"/>
    <x v="0"/>
    <x v="5"/>
    <n v="4"/>
    <x v="6"/>
    <n v="5"/>
    <n v="18"/>
    <x v="6"/>
    <x v="3"/>
    <x v="6"/>
  </r>
  <r>
    <s v="ORD1008"/>
    <x v="7"/>
    <s v="Smartphone"/>
    <x v="4"/>
    <x v="6"/>
    <n v="2"/>
    <x v="7"/>
    <n v="10"/>
    <n v="18"/>
    <x v="5"/>
    <x v="1"/>
    <x v="7"/>
  </r>
  <r>
    <s v="ORD1009"/>
    <x v="6"/>
    <s v="Washing Machine"/>
    <x v="2"/>
    <x v="2"/>
    <n v="4"/>
    <x v="8"/>
    <n v="10"/>
    <n v="18"/>
    <x v="7"/>
    <x v="1"/>
    <x v="8"/>
  </r>
  <r>
    <s v="ORD1010"/>
    <x v="8"/>
    <s v="Washing Machine"/>
    <x v="2"/>
    <x v="7"/>
    <n v="5"/>
    <x v="9"/>
    <n v="5"/>
    <n v="18"/>
    <x v="8"/>
    <x v="3"/>
    <x v="9"/>
  </r>
  <r>
    <s v="ORD1011"/>
    <x v="4"/>
    <s v="Smartwatch"/>
    <x v="5"/>
    <x v="8"/>
    <n v="4"/>
    <x v="10"/>
    <n v="12"/>
    <n v="18"/>
    <x v="9"/>
    <x v="1"/>
    <x v="10"/>
  </r>
  <r>
    <s v="ORD1012"/>
    <x v="9"/>
    <s v="Washing Machine"/>
    <x v="2"/>
    <x v="7"/>
    <n v="5"/>
    <x v="11"/>
    <n v="5"/>
    <n v="18"/>
    <x v="10"/>
    <x v="0"/>
    <x v="11"/>
  </r>
  <r>
    <s v="ORD1013"/>
    <x v="10"/>
    <s v="Tablet"/>
    <x v="0"/>
    <x v="9"/>
    <n v="4"/>
    <x v="12"/>
    <n v="10"/>
    <n v="18"/>
    <x v="11"/>
    <x v="4"/>
    <x v="12"/>
  </r>
  <r>
    <s v="ORD1014"/>
    <x v="11"/>
    <s v="Smartphone"/>
    <x v="4"/>
    <x v="10"/>
    <n v="5"/>
    <x v="13"/>
    <n v="12"/>
    <n v="18"/>
    <x v="12"/>
    <x v="2"/>
    <x v="13"/>
  </r>
  <r>
    <s v="ORD1015"/>
    <x v="12"/>
    <s v="Smartwatch"/>
    <x v="5"/>
    <x v="11"/>
    <n v="2"/>
    <x v="14"/>
    <n v="8"/>
    <n v="18"/>
    <x v="6"/>
    <x v="0"/>
    <x v="14"/>
  </r>
  <r>
    <s v="ORD1016"/>
    <x v="3"/>
    <s v="Bluetooth Speaker"/>
    <x v="1"/>
    <x v="12"/>
    <n v="3"/>
    <x v="15"/>
    <n v="10"/>
    <n v="18"/>
    <x v="13"/>
    <x v="4"/>
    <x v="15"/>
  </r>
  <r>
    <s v="ORD1017"/>
    <x v="13"/>
    <s v="Smartphone"/>
    <x v="4"/>
    <x v="2"/>
    <n v="2"/>
    <x v="16"/>
    <n v="12"/>
    <n v="18"/>
    <x v="4"/>
    <x v="2"/>
    <x v="16"/>
  </r>
  <r>
    <s v="ORD1018"/>
    <x v="9"/>
    <s v="Bluetooth Speaker"/>
    <x v="1"/>
    <x v="13"/>
    <n v="4"/>
    <x v="17"/>
    <n v="8"/>
    <n v="18"/>
    <x v="10"/>
    <x v="1"/>
    <x v="17"/>
  </r>
  <r>
    <s v="ORD1019"/>
    <x v="14"/>
    <s v="Smartwatch"/>
    <x v="5"/>
    <x v="11"/>
    <n v="2"/>
    <x v="18"/>
    <n v="10"/>
    <n v="18"/>
    <x v="5"/>
    <x v="0"/>
    <x v="18"/>
  </r>
  <r>
    <s v="ORD1020"/>
    <x v="15"/>
    <s v="Headphones"/>
    <x v="1"/>
    <x v="1"/>
    <n v="2"/>
    <x v="19"/>
    <n v="10"/>
    <n v="18"/>
    <x v="3"/>
    <x v="1"/>
    <x v="19"/>
  </r>
  <r>
    <s v="ORD1021"/>
    <x v="0"/>
    <s v="Smart TV"/>
    <x v="3"/>
    <x v="14"/>
    <n v="1"/>
    <x v="20"/>
    <n v="12"/>
    <n v="18"/>
    <x v="0"/>
    <x v="0"/>
    <x v="20"/>
  </r>
  <r>
    <s v="ORD1022"/>
    <x v="3"/>
    <s v="Smart TV"/>
    <x v="3"/>
    <x v="3"/>
    <n v="2"/>
    <x v="21"/>
    <n v="10"/>
    <n v="18"/>
    <x v="14"/>
    <x v="3"/>
    <x v="21"/>
  </r>
  <r>
    <s v="ORD1023"/>
    <x v="12"/>
    <s v="Smartphone"/>
    <x v="4"/>
    <x v="10"/>
    <n v="3"/>
    <x v="22"/>
    <n v="10"/>
    <n v="18"/>
    <x v="15"/>
    <x v="0"/>
    <x v="22"/>
  </r>
  <r>
    <s v="ORD1024"/>
    <x v="6"/>
    <s v="Smartphone"/>
    <x v="4"/>
    <x v="10"/>
    <n v="5"/>
    <x v="23"/>
    <n v="12"/>
    <n v="18"/>
    <x v="7"/>
    <x v="4"/>
    <x v="23"/>
  </r>
  <r>
    <s v="ORD1025"/>
    <x v="16"/>
    <s v="Bluetooth Speaker"/>
    <x v="1"/>
    <x v="3"/>
    <n v="3"/>
    <x v="24"/>
    <n v="8"/>
    <n v="18"/>
    <x v="6"/>
    <x v="0"/>
    <x v="24"/>
  </r>
  <r>
    <s v="ORD1026"/>
    <x v="17"/>
    <s v="Smartwatch"/>
    <x v="5"/>
    <x v="2"/>
    <n v="1"/>
    <x v="25"/>
    <n v="8"/>
    <n v="18"/>
    <x v="8"/>
    <x v="0"/>
    <x v="25"/>
  </r>
  <r>
    <s v="ORD1027"/>
    <x v="5"/>
    <s v="Printer"/>
    <x v="0"/>
    <x v="5"/>
    <n v="3"/>
    <x v="26"/>
    <n v="8"/>
    <n v="18"/>
    <x v="16"/>
    <x v="4"/>
    <x v="26"/>
  </r>
  <r>
    <s v="ORD1028"/>
    <x v="3"/>
    <s v="Smart TV"/>
    <x v="3"/>
    <x v="2"/>
    <n v="3"/>
    <x v="27"/>
    <n v="10"/>
    <n v="18"/>
    <x v="12"/>
    <x v="3"/>
    <x v="27"/>
  </r>
  <r>
    <s v="ORD1029"/>
    <x v="18"/>
    <s v="Laptop"/>
    <x v="0"/>
    <x v="15"/>
    <n v="2"/>
    <x v="28"/>
    <n v="8"/>
    <n v="18"/>
    <x v="17"/>
    <x v="1"/>
    <x v="28"/>
  </r>
  <r>
    <s v="ORD1030"/>
    <x v="19"/>
    <s v="Air Conditioner"/>
    <x v="2"/>
    <x v="14"/>
    <n v="4"/>
    <x v="29"/>
    <n v="8"/>
    <n v="18"/>
    <x v="13"/>
    <x v="0"/>
    <x v="29"/>
  </r>
  <r>
    <s v="ORD1031"/>
    <x v="1"/>
    <s v="Washing Machine"/>
    <x v="2"/>
    <x v="7"/>
    <n v="1"/>
    <x v="30"/>
    <n v="8"/>
    <n v="18"/>
    <x v="14"/>
    <x v="0"/>
    <x v="30"/>
  </r>
  <r>
    <s v="ORD1032"/>
    <x v="11"/>
    <s v="Smartphone"/>
    <x v="4"/>
    <x v="10"/>
    <n v="2"/>
    <x v="31"/>
    <n v="12"/>
    <n v="18"/>
    <x v="5"/>
    <x v="0"/>
    <x v="31"/>
  </r>
  <r>
    <s v="ORD1033"/>
    <x v="10"/>
    <s v="Bluetooth Speaker"/>
    <x v="1"/>
    <x v="3"/>
    <n v="5"/>
    <x v="32"/>
    <n v="12"/>
    <n v="18"/>
    <x v="10"/>
    <x v="0"/>
    <x v="32"/>
  </r>
  <r>
    <s v="ORD1034"/>
    <x v="8"/>
    <s v="Smart TV"/>
    <x v="3"/>
    <x v="14"/>
    <n v="3"/>
    <x v="33"/>
    <n v="12"/>
    <n v="18"/>
    <x v="1"/>
    <x v="0"/>
    <x v="33"/>
  </r>
  <r>
    <s v="ORD1035"/>
    <x v="0"/>
    <s v="Bluetooth Speaker"/>
    <x v="1"/>
    <x v="13"/>
    <n v="1"/>
    <x v="34"/>
    <n v="5"/>
    <n v="18"/>
    <x v="3"/>
    <x v="2"/>
    <x v="34"/>
  </r>
  <r>
    <s v="ORD1036"/>
    <x v="20"/>
    <s v="Laptop"/>
    <x v="0"/>
    <x v="9"/>
    <n v="3"/>
    <x v="35"/>
    <n v="8"/>
    <n v="18"/>
    <x v="3"/>
    <x v="1"/>
    <x v="35"/>
  </r>
  <r>
    <s v="ORD1037"/>
    <x v="13"/>
    <s v="Laptop"/>
    <x v="0"/>
    <x v="9"/>
    <n v="4"/>
    <x v="36"/>
    <n v="5"/>
    <n v="18"/>
    <x v="3"/>
    <x v="2"/>
    <x v="36"/>
  </r>
  <r>
    <s v="ORD1038"/>
    <x v="21"/>
    <s v="Smart TV"/>
    <x v="3"/>
    <x v="2"/>
    <n v="4"/>
    <x v="37"/>
    <n v="5"/>
    <n v="18"/>
    <x v="13"/>
    <x v="4"/>
    <x v="37"/>
  </r>
  <r>
    <s v="ORD1039"/>
    <x v="13"/>
    <s v="Bluetooth Speaker"/>
    <x v="1"/>
    <x v="12"/>
    <n v="3"/>
    <x v="38"/>
    <n v="8"/>
    <n v="18"/>
    <x v="4"/>
    <x v="3"/>
    <x v="38"/>
  </r>
  <r>
    <s v="ORD1040"/>
    <x v="0"/>
    <s v="Laptop"/>
    <x v="0"/>
    <x v="16"/>
    <n v="4"/>
    <x v="39"/>
    <n v="10"/>
    <n v="18"/>
    <x v="18"/>
    <x v="1"/>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835B8-28C6-4C05-AE83-306383FDCB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7:B119" firstHeaderRow="1" firstDataRow="1" firstDataCol="1" rowPageCount="1" colPageCount="1"/>
  <pivotFields count="12">
    <pivotField showAll="0"/>
    <pivotField showAll="0"/>
    <pivotField showAll="0"/>
    <pivotField axis="axisRow" showAll="0">
      <items count="7">
        <item x="1"/>
        <item x="0"/>
        <item x="2"/>
        <item x="4"/>
        <item x="3"/>
        <item x="5"/>
        <item t="default"/>
      </items>
    </pivotField>
    <pivotField axis="axisPage" multipleItemSelectionAllowed="1" showAll="0">
      <items count="18">
        <item x="0"/>
        <item x="16"/>
        <item x="1"/>
        <item x="4"/>
        <item x="5"/>
        <item x="15"/>
        <item x="8"/>
        <item x="7"/>
        <item x="12"/>
        <item x="9"/>
        <item x="14"/>
        <item x="11"/>
        <item x="6"/>
        <item x="13"/>
        <item x="2"/>
        <item x="3"/>
        <item x="10"/>
        <item t="default"/>
      </items>
    </pivotField>
    <pivotField showAll="0"/>
    <pivotField showAll="0">
      <items count="41">
        <item x="15"/>
        <item x="28"/>
        <item x="16"/>
        <item x="23"/>
        <item x="14"/>
        <item x="5"/>
        <item x="17"/>
        <item x="7"/>
        <item x="12"/>
        <item x="35"/>
        <item x="31"/>
        <item x="9"/>
        <item x="33"/>
        <item x="11"/>
        <item x="32"/>
        <item x="0"/>
        <item x="27"/>
        <item x="2"/>
        <item x="24"/>
        <item x="20"/>
        <item x="6"/>
        <item x="13"/>
        <item x="22"/>
        <item x="10"/>
        <item x="37"/>
        <item x="8"/>
        <item x="21"/>
        <item x="29"/>
        <item x="18"/>
        <item x="25"/>
        <item x="3"/>
        <item x="26"/>
        <item x="30"/>
        <item x="1"/>
        <item x="19"/>
        <item x="34"/>
        <item x="38"/>
        <item x="36"/>
        <item x="39"/>
        <item x="4"/>
        <item t="default"/>
      </items>
    </pivotField>
    <pivotField dataField="1" showAll="0"/>
    <pivotField showAll="0"/>
    <pivotField showAll="0">
      <items count="20">
        <item h="1" x="1"/>
        <item h="1" x="11"/>
        <item h="1" x="10"/>
        <item h="1" x="12"/>
        <item h="1" x="4"/>
        <item h="1" x="3"/>
        <item x="2"/>
        <item h="1" x="5"/>
        <item h="1" x="7"/>
        <item h="1" x="0"/>
        <item h="1" x="13"/>
        <item h="1" x="9"/>
        <item h="1" x="17"/>
        <item h="1" x="8"/>
        <item h="1" x="18"/>
        <item h="1" x="14"/>
        <item h="1" x="6"/>
        <item h="1" x="16"/>
        <item h="1" x="15"/>
        <item t="default"/>
      </items>
    </pivotField>
    <pivotField showAll="0">
      <items count="6">
        <item x="0"/>
        <item x="2"/>
        <item x="3"/>
        <item x="1"/>
        <item x="4"/>
        <item t="default"/>
      </items>
    </pivotField>
    <pivotField showAll="0"/>
  </pivotFields>
  <rowFields count="1">
    <field x="3"/>
  </rowFields>
  <rowItems count="2">
    <i>
      <x v="1"/>
    </i>
    <i t="grand">
      <x/>
    </i>
  </rowItems>
  <colItems count="1">
    <i/>
  </colItems>
  <pageFields count="1">
    <pageField fld="4" hier="-1"/>
  </pageFields>
  <dataFields count="1">
    <dataField name="Sum of Discount (%)" fld="7" baseField="0" baseItem="0"/>
  </dataFields>
  <formats count="24">
    <format dxfId="383">
      <pivotArea type="all" dataOnly="0" outline="0" fieldPosition="0"/>
    </format>
    <format dxfId="382">
      <pivotArea outline="0" collapsedLevelsAreSubtotals="1" fieldPosition="0"/>
    </format>
    <format dxfId="381">
      <pivotArea field="3" type="button" dataOnly="0" labelOnly="1" outline="0" axis="axisRow" fieldPosition="0"/>
    </format>
    <format dxfId="380">
      <pivotArea dataOnly="0" labelOnly="1" fieldPosition="0">
        <references count="1">
          <reference field="3" count="0"/>
        </references>
      </pivotArea>
    </format>
    <format dxfId="379">
      <pivotArea dataOnly="0" labelOnly="1" grandRow="1" outline="0" fieldPosition="0"/>
    </format>
    <format dxfId="378">
      <pivotArea dataOnly="0" labelOnly="1" outline="0" axis="axisValues" fieldPosition="0"/>
    </format>
    <format dxfId="377">
      <pivotArea type="all" dataOnly="0" outline="0" fieldPosition="0"/>
    </format>
    <format dxfId="376">
      <pivotArea outline="0" collapsedLevelsAreSubtotals="1" fieldPosition="0"/>
    </format>
    <format dxfId="375">
      <pivotArea field="3" type="button" dataOnly="0" labelOnly="1" outline="0" axis="axisRow" fieldPosition="0"/>
    </format>
    <format dxfId="374">
      <pivotArea dataOnly="0" labelOnly="1" fieldPosition="0">
        <references count="1">
          <reference field="3" count="0"/>
        </references>
      </pivotArea>
    </format>
    <format dxfId="373">
      <pivotArea dataOnly="0" labelOnly="1" grandRow="1" outline="0"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field="3" type="button" dataOnly="0" labelOnly="1" outline="0" axis="axisRow" fieldPosition="0"/>
    </format>
    <format dxfId="368">
      <pivotArea dataOnly="0" labelOnly="1" fieldPosition="0">
        <references count="1">
          <reference field="3" count="3">
            <x v="0"/>
            <x v="1"/>
            <x v="2"/>
          </reference>
        </references>
      </pivotArea>
    </format>
    <format dxfId="367">
      <pivotArea dataOnly="0" labelOnly="1" grandRow="1" outline="0" fieldPosition="0"/>
    </format>
    <format dxfId="366">
      <pivotArea dataOnly="0" labelOnly="1" outline="0" axis="axisValues" fieldPosition="0"/>
    </format>
    <format dxfId="365">
      <pivotArea type="all" dataOnly="0" outline="0" fieldPosition="0"/>
    </format>
    <format dxfId="364">
      <pivotArea outline="0" collapsedLevelsAreSubtotals="1" fieldPosition="0"/>
    </format>
    <format dxfId="363">
      <pivotArea field="3" type="button" dataOnly="0" labelOnly="1" outline="0" axis="axisRow" fieldPosition="0"/>
    </format>
    <format dxfId="362">
      <pivotArea dataOnly="0" labelOnly="1" fieldPosition="0">
        <references count="1">
          <reference field="3" count="3">
            <x v="0"/>
            <x v="1"/>
            <x v="2"/>
          </reference>
        </references>
      </pivotArea>
    </format>
    <format dxfId="361">
      <pivotArea dataOnly="0" labelOnly="1" grandRow="1" outline="0" fieldPosition="0"/>
    </format>
    <format dxfId="360">
      <pivotArea dataOnly="0" labelOnly="1" outline="0" axis="axisValues" fieldPosition="0"/>
    </format>
  </formats>
  <chartFormats count="1">
    <chartFormat chart="0"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90315-F3FB-40A0-A52B-AC1AF0DDDA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6:B128" firstHeaderRow="1" firstDataRow="1" firstDataCol="1"/>
  <pivotFields count="12">
    <pivotField showAll="0"/>
    <pivotField showAll="0"/>
    <pivotField showAll="0"/>
    <pivotField axis="axisRow" showAll="0">
      <items count="7">
        <item x="1"/>
        <item x="0"/>
        <item x="2"/>
        <item x="4"/>
        <item x="3"/>
        <item x="5"/>
        <item t="default"/>
      </items>
    </pivotField>
    <pivotField showAll="0"/>
    <pivotField showAll="0"/>
    <pivotField showAll="0"/>
    <pivotField showAll="0"/>
    <pivotField showAll="0"/>
    <pivotField showAll="0">
      <items count="20">
        <item h="1" x="1"/>
        <item h="1" x="11"/>
        <item h="1" x="10"/>
        <item h="1" x="12"/>
        <item h="1" x="4"/>
        <item h="1" x="3"/>
        <item x="2"/>
        <item h="1" x="5"/>
        <item h="1" x="7"/>
        <item h="1" x="0"/>
        <item h="1" x="13"/>
        <item h="1" x="9"/>
        <item h="1" x="17"/>
        <item h="1" x="8"/>
        <item h="1" x="18"/>
        <item h="1" x="14"/>
        <item h="1" x="6"/>
        <item h="1" x="16"/>
        <item h="1" x="15"/>
        <item t="default"/>
      </items>
    </pivotField>
    <pivotField showAll="0">
      <items count="6">
        <item x="0"/>
        <item x="2"/>
        <item x="3"/>
        <item x="1"/>
        <item x="4"/>
        <item t="default"/>
      </items>
    </pivotField>
    <pivotField dataField="1" showAll="0">
      <items count="41">
        <item x="16"/>
        <item x="28"/>
        <item x="15"/>
        <item x="14"/>
        <item x="20"/>
        <item x="7"/>
        <item x="23"/>
        <item x="31"/>
        <item x="3"/>
        <item x="25"/>
        <item x="5"/>
        <item x="17"/>
        <item x="35"/>
        <item x="2"/>
        <item x="30"/>
        <item x="34"/>
        <item x="12"/>
        <item x="33"/>
        <item x="0"/>
        <item x="27"/>
        <item x="21"/>
        <item x="24"/>
        <item x="18"/>
        <item x="9"/>
        <item x="22"/>
        <item x="19"/>
        <item x="32"/>
        <item x="6"/>
        <item x="11"/>
        <item x="10"/>
        <item x="26"/>
        <item x="8"/>
        <item x="37"/>
        <item x="13"/>
        <item x="29"/>
        <item x="38"/>
        <item x="4"/>
        <item x="39"/>
        <item x="36"/>
        <item x="1"/>
        <item t="default"/>
      </items>
    </pivotField>
  </pivotFields>
  <rowFields count="1">
    <field x="3"/>
  </rowFields>
  <rowItems count="2">
    <i>
      <x v="1"/>
    </i>
    <i t="grand">
      <x/>
    </i>
  </rowItems>
  <colItems count="1">
    <i/>
  </colItems>
  <dataFields count="1">
    <dataField name="Sum of Total Sales" fld="11" baseField="0" baseItem="0"/>
  </dataFields>
  <formats count="24">
    <format dxfId="407">
      <pivotArea type="all" dataOnly="0" outline="0" fieldPosition="0"/>
    </format>
    <format dxfId="406">
      <pivotArea outline="0" collapsedLevelsAreSubtotals="1" fieldPosition="0"/>
    </format>
    <format dxfId="405">
      <pivotArea field="3" type="button" dataOnly="0" labelOnly="1" outline="0" axis="axisRow" fieldPosition="0"/>
    </format>
    <format dxfId="404">
      <pivotArea dataOnly="0" labelOnly="1" fieldPosition="0">
        <references count="1">
          <reference field="3" count="0"/>
        </references>
      </pivotArea>
    </format>
    <format dxfId="403">
      <pivotArea dataOnly="0" labelOnly="1" grandRow="1" outline="0" fieldPosition="0"/>
    </format>
    <format dxfId="402">
      <pivotArea dataOnly="0" labelOnly="1" outline="0" axis="axisValues" fieldPosition="0"/>
    </format>
    <format dxfId="401">
      <pivotArea type="all" dataOnly="0" outline="0" fieldPosition="0"/>
    </format>
    <format dxfId="400">
      <pivotArea outline="0" collapsedLevelsAreSubtotals="1" fieldPosition="0"/>
    </format>
    <format dxfId="399">
      <pivotArea field="3" type="button" dataOnly="0" labelOnly="1" outline="0" axis="axisRow" fieldPosition="0"/>
    </format>
    <format dxfId="398">
      <pivotArea dataOnly="0" labelOnly="1" fieldPosition="0">
        <references count="1">
          <reference field="3" count="0"/>
        </references>
      </pivotArea>
    </format>
    <format dxfId="397">
      <pivotArea dataOnly="0" labelOnly="1" grandRow="1" outline="0" fieldPosition="0"/>
    </format>
    <format dxfId="396">
      <pivotArea dataOnly="0" labelOnly="1" outline="0" axis="axisValues" fieldPosition="0"/>
    </format>
    <format dxfId="395">
      <pivotArea type="all" dataOnly="0" outline="0" fieldPosition="0"/>
    </format>
    <format dxfId="394">
      <pivotArea outline="0" collapsedLevelsAreSubtotals="1" fieldPosition="0"/>
    </format>
    <format dxfId="393">
      <pivotArea field="3" type="button" dataOnly="0" labelOnly="1" outline="0" axis="axisRow" fieldPosition="0"/>
    </format>
    <format dxfId="392">
      <pivotArea dataOnly="0" labelOnly="1" fieldPosition="0">
        <references count="1">
          <reference field="3" count="3">
            <x v="0"/>
            <x v="1"/>
            <x v="2"/>
          </reference>
        </references>
      </pivotArea>
    </format>
    <format dxfId="391">
      <pivotArea dataOnly="0" labelOnly="1" grandRow="1" outline="0"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field="3" type="button" dataOnly="0" labelOnly="1" outline="0" axis="axisRow" fieldPosition="0"/>
    </format>
    <format dxfId="386">
      <pivotArea dataOnly="0" labelOnly="1" fieldPosition="0">
        <references count="1">
          <reference field="3" count="3">
            <x v="0"/>
            <x v="1"/>
            <x v="2"/>
          </reference>
        </references>
      </pivotArea>
    </format>
    <format dxfId="385">
      <pivotArea dataOnly="0" labelOnly="1" grandRow="1" outline="0" fieldPosition="0"/>
    </format>
    <format dxfId="3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F9093-411B-4C1D-9921-A6890E5788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F146:G148" firstHeaderRow="1" firstDataRow="1" firstDataCol="1"/>
  <pivotFields count="12">
    <pivotField showAll="0"/>
    <pivotField showAll="0"/>
    <pivotField showAll="0"/>
    <pivotField showAll="0"/>
    <pivotField axis="axisRow" showAll="0">
      <items count="18">
        <item x="0"/>
        <item x="16"/>
        <item x="1"/>
        <item x="4"/>
        <item x="5"/>
        <item x="15"/>
        <item x="8"/>
        <item x="7"/>
        <item x="12"/>
        <item x="9"/>
        <item x="14"/>
        <item x="11"/>
        <item x="6"/>
        <item x="13"/>
        <item x="2"/>
        <item x="3"/>
        <item x="10"/>
        <item t="default"/>
      </items>
    </pivotField>
    <pivotField showAll="0"/>
    <pivotField showAll="0"/>
    <pivotField showAll="0"/>
    <pivotField showAll="0"/>
    <pivotField showAll="0">
      <items count="20">
        <item h="1" x="1"/>
        <item h="1" x="11"/>
        <item h="1" x="10"/>
        <item h="1" x="12"/>
        <item h="1" x="4"/>
        <item h="1" x="3"/>
        <item x="2"/>
        <item h="1" x="5"/>
        <item h="1" x="7"/>
        <item h="1" x="0"/>
        <item h="1" x="13"/>
        <item h="1" x="9"/>
        <item h="1" x="17"/>
        <item h="1" x="8"/>
        <item h="1" x="18"/>
        <item h="1" x="14"/>
        <item h="1" x="6"/>
        <item h="1" x="16"/>
        <item h="1" x="15"/>
        <item t="default"/>
      </items>
    </pivotField>
    <pivotField showAll="0">
      <items count="6">
        <item x="0"/>
        <item x="2"/>
        <item x="3"/>
        <item x="1"/>
        <item x="4"/>
        <item t="default"/>
      </items>
    </pivotField>
    <pivotField dataField="1" showAll="0"/>
  </pivotFields>
  <rowFields count="1">
    <field x="4"/>
  </rowFields>
  <rowItems count="2">
    <i>
      <x/>
    </i>
    <i t="grand">
      <x/>
    </i>
  </rowItems>
  <colItems count="1">
    <i/>
  </colItems>
  <dataFields count="1">
    <dataField name="Sum of Total Sales" fld="11" baseField="0" baseItem="0"/>
  </dataFields>
  <formats count="24">
    <format dxfId="431">
      <pivotArea type="all" dataOnly="0" outline="0" fieldPosition="0"/>
    </format>
    <format dxfId="430">
      <pivotArea outline="0" collapsedLevelsAreSubtotals="1" fieldPosition="0"/>
    </format>
    <format dxfId="429">
      <pivotArea field="4" type="button" dataOnly="0" labelOnly="1" outline="0" axis="axisRow" fieldPosition="0"/>
    </format>
    <format dxfId="428">
      <pivotArea dataOnly="0" labelOnly="1" fieldPosition="0">
        <references count="1">
          <reference field="4" count="0"/>
        </references>
      </pivotArea>
    </format>
    <format dxfId="427">
      <pivotArea dataOnly="0" labelOnly="1" grandRow="1" outline="0" fieldPosition="0"/>
    </format>
    <format dxfId="426">
      <pivotArea dataOnly="0" labelOnly="1" outline="0" axis="axisValues" fieldPosition="0"/>
    </format>
    <format dxfId="425">
      <pivotArea type="all" dataOnly="0" outline="0" fieldPosition="0"/>
    </format>
    <format dxfId="424">
      <pivotArea outline="0" collapsedLevelsAreSubtotals="1" fieldPosition="0"/>
    </format>
    <format dxfId="423">
      <pivotArea field="4" type="button" dataOnly="0" labelOnly="1" outline="0" axis="axisRow" fieldPosition="0"/>
    </format>
    <format dxfId="422">
      <pivotArea dataOnly="0" labelOnly="1" fieldPosition="0">
        <references count="1">
          <reference field="4" count="0"/>
        </references>
      </pivotArea>
    </format>
    <format dxfId="421">
      <pivotArea dataOnly="0" labelOnly="1" grandRow="1" outline="0" fieldPosition="0"/>
    </format>
    <format dxfId="420">
      <pivotArea dataOnly="0" labelOnly="1" outline="0" axis="axisValues" fieldPosition="0"/>
    </format>
    <format dxfId="419">
      <pivotArea type="all" dataOnly="0" outline="0" fieldPosition="0"/>
    </format>
    <format dxfId="418">
      <pivotArea outline="0" collapsedLevelsAreSubtotals="1" fieldPosition="0"/>
    </format>
    <format dxfId="417">
      <pivotArea field="4" type="button" dataOnly="0" labelOnly="1" outline="0" axis="axisRow" fieldPosition="0"/>
    </format>
    <format dxfId="416">
      <pivotArea dataOnly="0" labelOnly="1" fieldPosition="0">
        <references count="1">
          <reference field="4" count="4">
            <x v="2"/>
            <x v="9"/>
            <x v="13"/>
            <x v="14"/>
          </reference>
        </references>
      </pivotArea>
    </format>
    <format dxfId="415">
      <pivotArea dataOnly="0" labelOnly="1" grandRow="1" outline="0" fieldPosition="0"/>
    </format>
    <format dxfId="414">
      <pivotArea dataOnly="0" labelOnly="1" outline="0" axis="axisValues" fieldPosition="0"/>
    </format>
    <format dxfId="413">
      <pivotArea type="all" dataOnly="0" outline="0" fieldPosition="0"/>
    </format>
    <format dxfId="412">
      <pivotArea outline="0" collapsedLevelsAreSubtotals="1" fieldPosition="0"/>
    </format>
    <format dxfId="411">
      <pivotArea field="4" type="button" dataOnly="0" labelOnly="1" outline="0" axis="axisRow" fieldPosition="0"/>
    </format>
    <format dxfId="410">
      <pivotArea dataOnly="0" labelOnly="1" fieldPosition="0">
        <references count="1">
          <reference field="4" count="4">
            <x v="2"/>
            <x v="9"/>
            <x v="13"/>
            <x v="14"/>
          </reference>
        </references>
      </pivotArea>
    </format>
    <format dxfId="409">
      <pivotArea dataOnly="0" labelOnly="1" grandRow="1" outline="0" fieldPosition="0"/>
    </format>
    <format dxfId="40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B6213A-8501-420D-9E9A-B1A93C59A536}" name="PivotTable10"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1">
  <location ref="F140:G142" firstHeaderRow="1" firstDataRow="1" firstDataCol="1"/>
  <pivotFields count="12">
    <pivotField showAll="0"/>
    <pivotField showAll="0"/>
    <pivotField showAll="0"/>
    <pivotField showAll="0">
      <items count="7">
        <item x="1"/>
        <item x="0"/>
        <item x="2"/>
        <item x="4"/>
        <item x="3"/>
        <item x="5"/>
        <item t="default"/>
      </items>
    </pivotField>
    <pivotField showAll="0">
      <items count="18">
        <item x="0"/>
        <item x="16"/>
        <item x="1"/>
        <item x="4"/>
        <item x="5"/>
        <item x="15"/>
        <item x="8"/>
        <item x="7"/>
        <item x="12"/>
        <item x="9"/>
        <item x="14"/>
        <item x="11"/>
        <item x="6"/>
        <item x="13"/>
        <item x="2"/>
        <item x="3"/>
        <item x="10"/>
        <item t="default"/>
      </items>
    </pivotField>
    <pivotField showAll="0"/>
    <pivotField showAll="0"/>
    <pivotField dataField="1" showAll="0"/>
    <pivotField showAll="0"/>
    <pivotField showAll="0">
      <items count="20">
        <item h="1" x="1"/>
        <item h="1" x="11"/>
        <item h="1" x="10"/>
        <item h="1" x="12"/>
        <item h="1" x="4"/>
        <item h="1" x="3"/>
        <item x="2"/>
        <item h="1" x="5"/>
        <item h="1" x="7"/>
        <item h="1" x="0"/>
        <item h="1" x="13"/>
        <item h="1" x="9"/>
        <item h="1" x="17"/>
        <item h="1" x="8"/>
        <item h="1" x="18"/>
        <item h="1" x="14"/>
        <item h="1" x="6"/>
        <item h="1" x="16"/>
        <item h="1" x="15"/>
        <item t="default"/>
      </items>
    </pivotField>
    <pivotField axis="axisRow" showAll="0">
      <items count="6">
        <item x="0"/>
        <item x="2"/>
        <item x="3"/>
        <item x="1"/>
        <item x="4"/>
        <item t="default"/>
      </items>
    </pivotField>
    <pivotField showAll="0"/>
  </pivotFields>
  <rowFields count="1">
    <field x="10"/>
  </rowFields>
  <rowItems count="2">
    <i>
      <x v="3"/>
    </i>
    <i t="grand">
      <x/>
    </i>
  </rowItems>
  <colItems count="1">
    <i/>
  </colItems>
  <dataFields count="1">
    <dataField name="Sum of Discount (%)" fld="7" baseField="0" baseItem="0"/>
  </dataFields>
  <formats count="24">
    <format dxfId="455">
      <pivotArea type="all" dataOnly="0" outline="0" fieldPosition="0"/>
    </format>
    <format dxfId="454">
      <pivotArea outline="0" collapsedLevelsAreSubtotals="1" fieldPosition="0"/>
    </format>
    <format dxfId="453">
      <pivotArea field="10" type="button" dataOnly="0" labelOnly="1" outline="0" axis="axisRow" fieldPosition="0"/>
    </format>
    <format dxfId="452">
      <pivotArea dataOnly="0" labelOnly="1" fieldPosition="0">
        <references count="1">
          <reference field="10" count="0"/>
        </references>
      </pivotArea>
    </format>
    <format dxfId="451">
      <pivotArea dataOnly="0" labelOnly="1" grandRow="1" outline="0" fieldPosition="0"/>
    </format>
    <format dxfId="450">
      <pivotArea dataOnly="0" labelOnly="1" outline="0" axis="axisValues" fieldPosition="0"/>
    </format>
    <format dxfId="449">
      <pivotArea type="all" dataOnly="0" outline="0" fieldPosition="0"/>
    </format>
    <format dxfId="448">
      <pivotArea outline="0" collapsedLevelsAreSubtotals="1" fieldPosition="0"/>
    </format>
    <format dxfId="447">
      <pivotArea field="10" type="button" dataOnly="0" labelOnly="1" outline="0" axis="axisRow" fieldPosition="0"/>
    </format>
    <format dxfId="446">
      <pivotArea dataOnly="0" labelOnly="1" fieldPosition="0">
        <references count="1">
          <reference field="10" count="0"/>
        </references>
      </pivotArea>
    </format>
    <format dxfId="445">
      <pivotArea dataOnly="0" labelOnly="1" grandRow="1" outline="0"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field="10" type="button" dataOnly="0" labelOnly="1" outline="0" axis="axisRow" fieldPosition="0"/>
    </format>
    <format dxfId="440">
      <pivotArea dataOnly="0" labelOnly="1" fieldPosition="0">
        <references count="1">
          <reference field="10" count="2">
            <x v="1"/>
            <x v="3"/>
          </reference>
        </references>
      </pivotArea>
    </format>
    <format dxfId="439">
      <pivotArea dataOnly="0" labelOnly="1" grandRow="1" outline="0"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field="10" type="button" dataOnly="0" labelOnly="1" outline="0" axis="axisRow" fieldPosition="0"/>
    </format>
    <format dxfId="434">
      <pivotArea dataOnly="0" labelOnly="1" fieldPosition="0">
        <references count="1">
          <reference field="10" count="2">
            <x v="1"/>
            <x v="3"/>
          </reference>
        </references>
      </pivotArea>
    </format>
    <format dxfId="433">
      <pivotArea dataOnly="0" labelOnly="1" grandRow="1" outline="0" fieldPosition="0"/>
    </format>
    <format dxfId="43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C16A7D-1DE6-4F44-93AD-94E2894267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30:G132" firstHeaderRow="1" firstDataRow="1" firstDataCol="1"/>
  <pivotFields count="12">
    <pivotField showAll="0"/>
    <pivotField axis="axisRow" showAll="0">
      <items count="23">
        <item x="1"/>
        <item x="18"/>
        <item x="9"/>
        <item x="14"/>
        <item x="15"/>
        <item x="13"/>
        <item x="2"/>
        <item x="12"/>
        <item x="16"/>
        <item x="6"/>
        <item x="11"/>
        <item x="10"/>
        <item x="19"/>
        <item x="3"/>
        <item x="21"/>
        <item x="20"/>
        <item x="5"/>
        <item x="0"/>
        <item x="8"/>
        <item x="7"/>
        <item x="4"/>
        <item x="17"/>
        <item t="default"/>
      </items>
    </pivotField>
    <pivotField showAll="0"/>
    <pivotField showAll="0"/>
    <pivotField showAll="0"/>
    <pivotField showAll="0"/>
    <pivotField showAll="0"/>
    <pivotField showAll="0"/>
    <pivotField showAll="0"/>
    <pivotField showAll="0">
      <items count="20">
        <item h="1" x="1"/>
        <item h="1" x="11"/>
        <item h="1" x="10"/>
        <item h="1" x="12"/>
        <item h="1" x="4"/>
        <item h="1" x="3"/>
        <item x="2"/>
        <item h="1" x="5"/>
        <item h="1" x="7"/>
        <item h="1" x="0"/>
        <item h="1" x="13"/>
        <item h="1" x="9"/>
        <item h="1" x="17"/>
        <item h="1" x="8"/>
        <item h="1" x="18"/>
        <item h="1" x="14"/>
        <item h="1" x="6"/>
        <item h="1" x="16"/>
        <item h="1" x="15"/>
        <item t="default"/>
      </items>
    </pivotField>
    <pivotField showAll="0">
      <items count="6">
        <item x="0"/>
        <item x="2"/>
        <item x="3"/>
        <item x="1"/>
        <item x="4"/>
        <item t="default"/>
      </items>
    </pivotField>
    <pivotField dataField="1" showAll="0"/>
  </pivotFields>
  <rowFields count="1">
    <field x="1"/>
  </rowFields>
  <rowItems count="2">
    <i>
      <x v="6"/>
    </i>
    <i t="grand">
      <x/>
    </i>
  </rowItems>
  <colItems count="1">
    <i/>
  </colItems>
  <dataFields count="1">
    <dataField name="Sum of Total Sales" fld="11" baseField="0" baseItem="0"/>
  </dataFields>
  <formats count="24">
    <format dxfId="479">
      <pivotArea type="all" dataOnly="0" outline="0" fieldPosition="0"/>
    </format>
    <format dxfId="478">
      <pivotArea outline="0" collapsedLevelsAreSubtotals="1" fieldPosition="0"/>
    </format>
    <format dxfId="477">
      <pivotArea field="1" type="button" dataOnly="0" labelOnly="1" outline="0" axis="axisRow" fieldPosition="0"/>
    </format>
    <format dxfId="476">
      <pivotArea dataOnly="0" labelOnly="1" fieldPosition="0">
        <references count="1">
          <reference field="1" count="0"/>
        </references>
      </pivotArea>
    </format>
    <format dxfId="475">
      <pivotArea dataOnly="0" labelOnly="1" grandRow="1" outline="0"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field="1" type="button" dataOnly="0" labelOnly="1" outline="0" axis="axisRow" fieldPosition="0"/>
    </format>
    <format dxfId="470">
      <pivotArea dataOnly="0" labelOnly="1" fieldPosition="0">
        <references count="1">
          <reference field="1" count="0"/>
        </references>
      </pivotArea>
    </format>
    <format dxfId="469">
      <pivotArea dataOnly="0" labelOnly="1" grandRow="1" outline="0"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field="1" type="button" dataOnly="0" labelOnly="1" outline="0" axis="axisRow" fieldPosition="0"/>
    </format>
    <format dxfId="464">
      <pivotArea dataOnly="0" labelOnly="1" fieldPosition="0">
        <references count="1">
          <reference field="1" count="5">
            <x v="4"/>
            <x v="5"/>
            <x v="13"/>
            <x v="15"/>
            <x v="17"/>
          </reference>
        </references>
      </pivotArea>
    </format>
    <format dxfId="463">
      <pivotArea dataOnly="0" labelOnly="1" grandRow="1" outline="0"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1" type="button" dataOnly="0" labelOnly="1" outline="0" axis="axisRow" fieldPosition="0"/>
    </format>
    <format dxfId="458">
      <pivotArea dataOnly="0" labelOnly="1" fieldPosition="0">
        <references count="1">
          <reference field="1" count="5">
            <x v="4"/>
            <x v="5"/>
            <x v="13"/>
            <x v="15"/>
            <x v="17"/>
          </reference>
        </references>
      </pivotArea>
    </format>
    <format dxfId="457">
      <pivotArea dataOnly="0" labelOnly="1" grandRow="1" outline="0" fieldPosition="0"/>
    </format>
    <format dxfId="45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0C7E165-BE30-48F2-9F68-E549BB5CF419}" sourceName="State">
  <pivotTables>
    <pivotTable tabId="2" name="PivotTable10"/>
    <pivotTable tabId="2" name="PivotTable2"/>
    <pivotTable tabId="2" name="PivotTable3"/>
    <pivotTable tabId="2" name="PivotTable4"/>
    <pivotTable tabId="2" name="PivotTable5"/>
  </pivotTables>
  <data>
    <tabular pivotCacheId="1693273048">
      <items count="19">
        <i x="1"/>
        <i x="11"/>
        <i x="10"/>
        <i x="12"/>
        <i x="4"/>
        <i x="3"/>
        <i x="2" s="1"/>
        <i x="5"/>
        <i x="7"/>
        <i x="0"/>
        <i x="13"/>
        <i x="9"/>
        <i x="17"/>
        <i x="8"/>
        <i x="18"/>
        <i x="14"/>
        <i x="6"/>
        <i x="16"/>
        <i x="1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8724B41-5925-4167-91EF-3A083BB5EF98}" sourceName="Payment Mode">
  <pivotTables>
    <pivotTable tabId="2" name="PivotTable10"/>
    <pivotTable tabId="2" name="PivotTable2"/>
    <pivotTable tabId="2" name="PivotTable3"/>
    <pivotTable tabId="2" name="PivotTable4"/>
    <pivotTable tabId="2" name="PivotTable5"/>
  </pivotTables>
  <data>
    <tabular pivotCacheId="1693273048">
      <items count="5">
        <i x="1" s="1"/>
        <i x="0" s="1" nd="1"/>
        <i x="2" s="1" nd="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0370794-236C-45CD-8048-D52CC8F6AFAD}" cache="Slicer_State" caption="State" startItem="1" style="Slicer Style 1" rowHeight="234950"/>
  <slicer name="Payment Mode" xr10:uid="{EE2212CB-F93F-48FC-97F1-89814B34F4B4}" cache="Slicer_Payment_Mode" caption="Payment Mode" style="Slicer Style 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workbookViewId="0">
      <selection activeCell="C27" sqref="C27"/>
    </sheetView>
  </sheetViews>
  <sheetFormatPr defaultRowHeight="14.4" x14ac:dyDescent="0.3"/>
  <cols>
    <col min="1" max="1" width="14.109375" customWidth="1"/>
    <col min="2" max="2" width="12.5546875" customWidth="1"/>
    <col min="3" max="3" width="16.5546875" customWidth="1"/>
    <col min="4" max="4" width="13.33203125" customWidth="1"/>
    <col min="5" max="5" width="12.109375" customWidth="1"/>
    <col min="6" max="6" width="11.44140625" customWidth="1"/>
    <col min="7" max="8" width="12.109375" customWidth="1"/>
    <col min="9" max="9" width="12.88671875" customWidth="1"/>
    <col min="10" max="10" width="14" customWidth="1"/>
    <col min="11" max="11" width="12.88671875" customWidth="1"/>
    <col min="12" max="12" width="13.441406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52</v>
      </c>
      <c r="C2" t="s">
        <v>74</v>
      </c>
      <c r="D2" t="s">
        <v>84</v>
      </c>
      <c r="E2" t="s">
        <v>90</v>
      </c>
      <c r="F2">
        <v>3</v>
      </c>
      <c r="G2">
        <v>35401</v>
      </c>
      <c r="H2">
        <v>10</v>
      </c>
      <c r="I2">
        <v>18</v>
      </c>
      <c r="J2" t="s">
        <v>107</v>
      </c>
      <c r="K2" t="s">
        <v>126</v>
      </c>
      <c r="L2">
        <v>112788</v>
      </c>
    </row>
    <row r="3" spans="1:12" x14ac:dyDescent="0.3">
      <c r="A3" t="s">
        <v>13</v>
      </c>
      <c r="B3" t="s">
        <v>53</v>
      </c>
      <c r="C3" t="s">
        <v>75</v>
      </c>
      <c r="D3" t="s">
        <v>85</v>
      </c>
      <c r="E3" t="s">
        <v>91</v>
      </c>
      <c r="F3">
        <v>5</v>
      </c>
      <c r="G3">
        <v>77924</v>
      </c>
      <c r="H3">
        <v>8</v>
      </c>
      <c r="I3">
        <v>18</v>
      </c>
      <c r="J3" t="s">
        <v>108</v>
      </c>
      <c r="K3" t="s">
        <v>127</v>
      </c>
      <c r="L3">
        <v>422971</v>
      </c>
    </row>
    <row r="4" spans="1:12" x14ac:dyDescent="0.3">
      <c r="A4" t="s">
        <v>14</v>
      </c>
      <c r="B4" t="s">
        <v>54</v>
      </c>
      <c r="C4" t="s">
        <v>74</v>
      </c>
      <c r="D4" t="s">
        <v>84</v>
      </c>
      <c r="E4" t="s">
        <v>90</v>
      </c>
      <c r="F4">
        <v>2</v>
      </c>
      <c r="G4">
        <v>37239</v>
      </c>
      <c r="H4">
        <v>8</v>
      </c>
      <c r="I4">
        <v>18</v>
      </c>
      <c r="J4" t="s">
        <v>109</v>
      </c>
      <c r="K4" t="s">
        <v>127</v>
      </c>
      <c r="L4">
        <v>80853</v>
      </c>
    </row>
    <row r="5" spans="1:12" x14ac:dyDescent="0.3">
      <c r="A5" t="s">
        <v>15</v>
      </c>
      <c r="B5" t="s">
        <v>55</v>
      </c>
      <c r="C5" t="s">
        <v>76</v>
      </c>
      <c r="D5" t="s">
        <v>86</v>
      </c>
      <c r="E5" t="s">
        <v>92</v>
      </c>
      <c r="F5">
        <v>1</v>
      </c>
      <c r="G5">
        <v>66117</v>
      </c>
      <c r="H5">
        <v>12</v>
      </c>
      <c r="I5">
        <v>18</v>
      </c>
      <c r="J5" t="s">
        <v>110</v>
      </c>
      <c r="K5" t="s">
        <v>127</v>
      </c>
      <c r="L5">
        <v>68656</v>
      </c>
    </row>
    <row r="6" spans="1:12" x14ac:dyDescent="0.3">
      <c r="A6" t="s">
        <v>16</v>
      </c>
      <c r="B6" t="s">
        <v>56</v>
      </c>
      <c r="C6" t="s">
        <v>77</v>
      </c>
      <c r="D6" t="s">
        <v>87</v>
      </c>
      <c r="E6" t="s">
        <v>93</v>
      </c>
      <c r="F6">
        <v>3</v>
      </c>
      <c r="G6">
        <v>88980</v>
      </c>
      <c r="H6">
        <v>8</v>
      </c>
      <c r="I6">
        <v>18</v>
      </c>
      <c r="J6" t="s">
        <v>111</v>
      </c>
      <c r="K6" t="s">
        <v>128</v>
      </c>
      <c r="L6">
        <v>289790</v>
      </c>
    </row>
    <row r="7" spans="1:12" x14ac:dyDescent="0.3">
      <c r="A7" t="s">
        <v>17</v>
      </c>
      <c r="B7" t="s">
        <v>57</v>
      </c>
      <c r="C7" t="s">
        <v>78</v>
      </c>
      <c r="D7" t="s">
        <v>84</v>
      </c>
      <c r="E7" t="s">
        <v>94</v>
      </c>
      <c r="F7">
        <v>5</v>
      </c>
      <c r="G7">
        <v>14401</v>
      </c>
      <c r="H7">
        <v>12</v>
      </c>
      <c r="I7">
        <v>18</v>
      </c>
      <c r="J7" t="s">
        <v>112</v>
      </c>
      <c r="K7" t="s">
        <v>127</v>
      </c>
      <c r="L7">
        <v>74770</v>
      </c>
    </row>
    <row r="8" spans="1:12" x14ac:dyDescent="0.3">
      <c r="A8" t="s">
        <v>18</v>
      </c>
      <c r="B8" t="s">
        <v>58</v>
      </c>
      <c r="C8" t="s">
        <v>78</v>
      </c>
      <c r="D8" t="s">
        <v>84</v>
      </c>
      <c r="E8" t="s">
        <v>95</v>
      </c>
      <c r="F8">
        <v>4</v>
      </c>
      <c r="G8">
        <v>41347</v>
      </c>
      <c r="H8">
        <v>5</v>
      </c>
      <c r="I8">
        <v>18</v>
      </c>
      <c r="J8" t="s">
        <v>113</v>
      </c>
      <c r="K8" t="s">
        <v>129</v>
      </c>
      <c r="L8">
        <v>185400</v>
      </c>
    </row>
    <row r="9" spans="1:12" x14ac:dyDescent="0.3">
      <c r="A9" t="s">
        <v>19</v>
      </c>
      <c r="B9" t="s">
        <v>59</v>
      </c>
      <c r="C9" t="s">
        <v>79</v>
      </c>
      <c r="D9" t="s">
        <v>88</v>
      </c>
      <c r="E9" t="s">
        <v>96</v>
      </c>
      <c r="F9">
        <v>2</v>
      </c>
      <c r="G9">
        <v>20553</v>
      </c>
      <c r="H9">
        <v>10</v>
      </c>
      <c r="I9">
        <v>18</v>
      </c>
      <c r="J9" t="s">
        <v>112</v>
      </c>
      <c r="K9" t="s">
        <v>127</v>
      </c>
      <c r="L9">
        <v>43655</v>
      </c>
    </row>
    <row r="10" spans="1:12" x14ac:dyDescent="0.3">
      <c r="A10" t="s">
        <v>20</v>
      </c>
      <c r="B10" t="s">
        <v>58</v>
      </c>
      <c r="C10" t="s">
        <v>80</v>
      </c>
      <c r="D10" t="s">
        <v>86</v>
      </c>
      <c r="E10" t="s">
        <v>92</v>
      </c>
      <c r="F10">
        <v>4</v>
      </c>
      <c r="G10">
        <v>54928</v>
      </c>
      <c r="H10">
        <v>10</v>
      </c>
      <c r="I10">
        <v>18</v>
      </c>
      <c r="J10" t="s">
        <v>114</v>
      </c>
      <c r="K10" t="s">
        <v>127</v>
      </c>
      <c r="L10">
        <v>233334</v>
      </c>
    </row>
    <row r="11" spans="1:12" x14ac:dyDescent="0.3">
      <c r="A11" t="s">
        <v>21</v>
      </c>
      <c r="B11" t="s">
        <v>60</v>
      </c>
      <c r="C11" t="s">
        <v>80</v>
      </c>
      <c r="D11" t="s">
        <v>86</v>
      </c>
      <c r="E11" t="s">
        <v>97</v>
      </c>
      <c r="F11">
        <v>5</v>
      </c>
      <c r="G11">
        <v>28406</v>
      </c>
      <c r="H11">
        <v>5</v>
      </c>
      <c r="I11">
        <v>18</v>
      </c>
      <c r="J11" t="s">
        <v>115</v>
      </c>
      <c r="K11" t="s">
        <v>129</v>
      </c>
      <c r="L11">
        <v>159216</v>
      </c>
    </row>
    <row r="12" spans="1:12" x14ac:dyDescent="0.3">
      <c r="A12" t="s">
        <v>22</v>
      </c>
      <c r="B12" t="s">
        <v>56</v>
      </c>
      <c r="C12" t="s">
        <v>81</v>
      </c>
      <c r="D12" t="s">
        <v>89</v>
      </c>
      <c r="E12" t="s">
        <v>98</v>
      </c>
      <c r="F12">
        <v>4</v>
      </c>
      <c r="G12">
        <v>52992</v>
      </c>
      <c r="H12">
        <v>12</v>
      </c>
      <c r="I12">
        <v>18</v>
      </c>
      <c r="J12" t="s">
        <v>116</v>
      </c>
      <c r="K12" t="s">
        <v>127</v>
      </c>
      <c r="L12">
        <v>220108</v>
      </c>
    </row>
    <row r="13" spans="1:12" x14ac:dyDescent="0.3">
      <c r="A13" t="s">
        <v>23</v>
      </c>
      <c r="B13" t="s">
        <v>61</v>
      </c>
      <c r="C13" t="s">
        <v>80</v>
      </c>
      <c r="D13" t="s">
        <v>86</v>
      </c>
      <c r="E13" t="s">
        <v>97</v>
      </c>
      <c r="F13">
        <v>5</v>
      </c>
      <c r="G13">
        <v>33339</v>
      </c>
      <c r="H13">
        <v>5</v>
      </c>
      <c r="I13">
        <v>18</v>
      </c>
      <c r="J13" t="s">
        <v>117</v>
      </c>
      <c r="K13" t="s">
        <v>126</v>
      </c>
      <c r="L13">
        <v>186865</v>
      </c>
    </row>
    <row r="14" spans="1:12" x14ac:dyDescent="0.3">
      <c r="A14" t="s">
        <v>24</v>
      </c>
      <c r="B14" t="s">
        <v>62</v>
      </c>
      <c r="C14" t="s">
        <v>74</v>
      </c>
      <c r="D14" t="s">
        <v>84</v>
      </c>
      <c r="E14" t="s">
        <v>99</v>
      </c>
      <c r="F14">
        <v>4</v>
      </c>
      <c r="G14">
        <v>21581</v>
      </c>
      <c r="H14">
        <v>10</v>
      </c>
      <c r="I14">
        <v>18</v>
      </c>
      <c r="J14" t="s">
        <v>118</v>
      </c>
      <c r="K14" t="s">
        <v>130</v>
      </c>
      <c r="L14">
        <v>91676</v>
      </c>
    </row>
    <row r="15" spans="1:12" x14ac:dyDescent="0.3">
      <c r="A15" t="s">
        <v>25</v>
      </c>
      <c r="B15" t="s">
        <v>63</v>
      </c>
      <c r="C15" t="s">
        <v>79</v>
      </c>
      <c r="D15" t="s">
        <v>88</v>
      </c>
      <c r="E15" t="s">
        <v>100</v>
      </c>
      <c r="F15">
        <v>5</v>
      </c>
      <c r="G15">
        <v>49101</v>
      </c>
      <c r="H15">
        <v>12</v>
      </c>
      <c r="I15">
        <v>18</v>
      </c>
      <c r="J15" t="s">
        <v>119</v>
      </c>
      <c r="K15" t="s">
        <v>128</v>
      </c>
      <c r="L15">
        <v>254932</v>
      </c>
    </row>
    <row r="16" spans="1:12" x14ac:dyDescent="0.3">
      <c r="A16" t="s">
        <v>26</v>
      </c>
      <c r="B16" t="s">
        <v>64</v>
      </c>
      <c r="C16" t="s">
        <v>81</v>
      </c>
      <c r="D16" t="s">
        <v>89</v>
      </c>
      <c r="E16" t="s">
        <v>101</v>
      </c>
      <c r="F16">
        <v>2</v>
      </c>
      <c r="G16">
        <v>10253</v>
      </c>
      <c r="H16">
        <v>8</v>
      </c>
      <c r="I16">
        <v>18</v>
      </c>
      <c r="J16" t="s">
        <v>113</v>
      </c>
      <c r="K16" t="s">
        <v>126</v>
      </c>
      <c r="L16">
        <v>22261</v>
      </c>
    </row>
    <row r="17" spans="1:12" x14ac:dyDescent="0.3">
      <c r="A17" t="s">
        <v>27</v>
      </c>
      <c r="B17" t="s">
        <v>55</v>
      </c>
      <c r="C17" t="s">
        <v>82</v>
      </c>
      <c r="D17" t="s">
        <v>85</v>
      </c>
      <c r="E17" t="s">
        <v>102</v>
      </c>
      <c r="F17">
        <v>3</v>
      </c>
      <c r="G17">
        <v>5138</v>
      </c>
      <c r="H17">
        <v>10</v>
      </c>
      <c r="I17">
        <v>18</v>
      </c>
      <c r="J17" t="s">
        <v>120</v>
      </c>
      <c r="K17" t="s">
        <v>130</v>
      </c>
      <c r="L17">
        <v>16370</v>
      </c>
    </row>
    <row r="18" spans="1:12" x14ac:dyDescent="0.3">
      <c r="A18" t="s">
        <v>28</v>
      </c>
      <c r="B18" t="s">
        <v>65</v>
      </c>
      <c r="C18" t="s">
        <v>79</v>
      </c>
      <c r="D18" t="s">
        <v>88</v>
      </c>
      <c r="E18" t="s">
        <v>92</v>
      </c>
      <c r="F18">
        <v>2</v>
      </c>
      <c r="G18">
        <v>6090</v>
      </c>
      <c r="H18">
        <v>12</v>
      </c>
      <c r="I18">
        <v>18</v>
      </c>
      <c r="J18" t="s">
        <v>111</v>
      </c>
      <c r="K18" t="s">
        <v>128</v>
      </c>
      <c r="L18">
        <v>12648</v>
      </c>
    </row>
    <row r="19" spans="1:12" x14ac:dyDescent="0.3">
      <c r="A19" t="s">
        <v>29</v>
      </c>
      <c r="B19" t="s">
        <v>61</v>
      </c>
      <c r="C19" t="s">
        <v>82</v>
      </c>
      <c r="D19" t="s">
        <v>85</v>
      </c>
      <c r="E19" t="s">
        <v>103</v>
      </c>
      <c r="F19">
        <v>4</v>
      </c>
      <c r="G19">
        <v>17391</v>
      </c>
      <c r="H19">
        <v>8</v>
      </c>
      <c r="I19">
        <v>18</v>
      </c>
      <c r="J19" t="s">
        <v>117</v>
      </c>
      <c r="K19" t="s">
        <v>127</v>
      </c>
      <c r="L19">
        <v>75519</v>
      </c>
    </row>
    <row r="20" spans="1:12" x14ac:dyDescent="0.3">
      <c r="A20" t="s">
        <v>30</v>
      </c>
      <c r="B20" t="s">
        <v>66</v>
      </c>
      <c r="C20" t="s">
        <v>81</v>
      </c>
      <c r="D20" t="s">
        <v>89</v>
      </c>
      <c r="E20" t="s">
        <v>101</v>
      </c>
      <c r="F20">
        <v>2</v>
      </c>
      <c r="G20">
        <v>64269</v>
      </c>
      <c r="H20">
        <v>10</v>
      </c>
      <c r="I20">
        <v>18</v>
      </c>
      <c r="J20" t="s">
        <v>112</v>
      </c>
      <c r="K20" t="s">
        <v>126</v>
      </c>
      <c r="L20">
        <v>136507</v>
      </c>
    </row>
    <row r="21" spans="1:12" x14ac:dyDescent="0.3">
      <c r="A21" t="s">
        <v>31</v>
      </c>
      <c r="B21" t="s">
        <v>67</v>
      </c>
      <c r="C21" t="s">
        <v>75</v>
      </c>
      <c r="D21" t="s">
        <v>85</v>
      </c>
      <c r="E21" t="s">
        <v>91</v>
      </c>
      <c r="F21">
        <v>2</v>
      </c>
      <c r="G21">
        <v>79906</v>
      </c>
      <c r="H21">
        <v>10</v>
      </c>
      <c r="I21">
        <v>18</v>
      </c>
      <c r="J21" t="s">
        <v>110</v>
      </c>
      <c r="K21" t="s">
        <v>127</v>
      </c>
      <c r="L21">
        <v>169720</v>
      </c>
    </row>
    <row r="22" spans="1:12" x14ac:dyDescent="0.3">
      <c r="A22" t="s">
        <v>32</v>
      </c>
      <c r="B22" t="s">
        <v>52</v>
      </c>
      <c r="C22" t="s">
        <v>77</v>
      </c>
      <c r="D22" t="s">
        <v>87</v>
      </c>
      <c r="E22" t="s">
        <v>104</v>
      </c>
      <c r="F22">
        <v>1</v>
      </c>
      <c r="G22">
        <v>40536</v>
      </c>
      <c r="H22">
        <v>12</v>
      </c>
      <c r="I22">
        <v>18</v>
      </c>
      <c r="J22" t="s">
        <v>107</v>
      </c>
      <c r="K22" t="s">
        <v>126</v>
      </c>
      <c r="L22">
        <v>42093</v>
      </c>
    </row>
    <row r="23" spans="1:12" x14ac:dyDescent="0.3">
      <c r="A23" t="s">
        <v>33</v>
      </c>
      <c r="B23" t="s">
        <v>55</v>
      </c>
      <c r="C23" t="s">
        <v>77</v>
      </c>
      <c r="D23" t="s">
        <v>87</v>
      </c>
      <c r="E23" t="s">
        <v>93</v>
      </c>
      <c r="F23">
        <v>2</v>
      </c>
      <c r="G23">
        <v>56312</v>
      </c>
      <c r="H23">
        <v>10</v>
      </c>
      <c r="I23">
        <v>18</v>
      </c>
      <c r="J23" t="s">
        <v>121</v>
      </c>
      <c r="K23" t="s">
        <v>129</v>
      </c>
      <c r="L23">
        <v>119607</v>
      </c>
    </row>
    <row r="24" spans="1:12" x14ac:dyDescent="0.3">
      <c r="A24" t="s">
        <v>34</v>
      </c>
      <c r="B24" t="s">
        <v>64</v>
      </c>
      <c r="C24" t="s">
        <v>79</v>
      </c>
      <c r="D24" t="s">
        <v>88</v>
      </c>
      <c r="E24" t="s">
        <v>100</v>
      </c>
      <c r="F24">
        <v>3</v>
      </c>
      <c r="G24">
        <v>52005</v>
      </c>
      <c r="H24">
        <v>10</v>
      </c>
      <c r="I24">
        <v>18</v>
      </c>
      <c r="J24" t="s">
        <v>122</v>
      </c>
      <c r="K24" t="s">
        <v>126</v>
      </c>
      <c r="L24">
        <v>165688</v>
      </c>
    </row>
    <row r="25" spans="1:12" x14ac:dyDescent="0.3">
      <c r="A25" t="s">
        <v>35</v>
      </c>
      <c r="B25" t="s">
        <v>58</v>
      </c>
      <c r="C25" t="s">
        <v>79</v>
      </c>
      <c r="D25" t="s">
        <v>88</v>
      </c>
      <c r="E25" t="s">
        <v>100</v>
      </c>
      <c r="F25">
        <v>5</v>
      </c>
      <c r="G25">
        <v>8857</v>
      </c>
      <c r="H25">
        <v>12</v>
      </c>
      <c r="I25">
        <v>18</v>
      </c>
      <c r="J25" t="s">
        <v>114</v>
      </c>
      <c r="K25" t="s">
        <v>130</v>
      </c>
      <c r="L25">
        <v>45986</v>
      </c>
    </row>
    <row r="26" spans="1:12" x14ac:dyDescent="0.3">
      <c r="A26" t="s">
        <v>36</v>
      </c>
      <c r="B26" t="s">
        <v>68</v>
      </c>
      <c r="C26" t="s">
        <v>82</v>
      </c>
      <c r="D26" t="s">
        <v>85</v>
      </c>
      <c r="E26" t="s">
        <v>93</v>
      </c>
      <c r="F26">
        <v>3</v>
      </c>
      <c r="G26">
        <v>37518</v>
      </c>
      <c r="H26">
        <v>8</v>
      </c>
      <c r="I26">
        <v>18</v>
      </c>
      <c r="J26" t="s">
        <v>113</v>
      </c>
      <c r="K26" t="s">
        <v>126</v>
      </c>
      <c r="L26">
        <v>122189</v>
      </c>
    </row>
    <row r="27" spans="1:12" x14ac:dyDescent="0.3">
      <c r="A27" t="s">
        <v>37</v>
      </c>
      <c r="B27" t="s">
        <v>69</v>
      </c>
      <c r="C27" t="s">
        <v>81</v>
      </c>
      <c r="D27" t="s">
        <v>89</v>
      </c>
      <c r="E27" t="s">
        <v>92</v>
      </c>
      <c r="F27">
        <v>1</v>
      </c>
      <c r="G27">
        <v>64833</v>
      </c>
      <c r="H27">
        <v>8</v>
      </c>
      <c r="I27">
        <v>18</v>
      </c>
      <c r="J27" t="s">
        <v>115</v>
      </c>
      <c r="K27" t="s">
        <v>126</v>
      </c>
      <c r="L27">
        <v>70383</v>
      </c>
    </row>
    <row r="28" spans="1:12" x14ac:dyDescent="0.3">
      <c r="A28" t="s">
        <v>38</v>
      </c>
      <c r="B28" t="s">
        <v>57</v>
      </c>
      <c r="C28" t="s">
        <v>78</v>
      </c>
      <c r="D28" t="s">
        <v>84</v>
      </c>
      <c r="E28" t="s">
        <v>95</v>
      </c>
      <c r="F28">
        <v>3</v>
      </c>
      <c r="G28">
        <v>69827</v>
      </c>
      <c r="H28">
        <v>8</v>
      </c>
      <c r="I28">
        <v>18</v>
      </c>
      <c r="J28" t="s">
        <v>123</v>
      </c>
      <c r="K28" t="s">
        <v>130</v>
      </c>
      <c r="L28">
        <v>227413</v>
      </c>
    </row>
    <row r="29" spans="1:12" x14ac:dyDescent="0.3">
      <c r="A29" t="s">
        <v>39</v>
      </c>
      <c r="B29" t="s">
        <v>55</v>
      </c>
      <c r="C29" t="s">
        <v>77</v>
      </c>
      <c r="D29" t="s">
        <v>87</v>
      </c>
      <c r="E29" t="s">
        <v>92</v>
      </c>
      <c r="F29">
        <v>3</v>
      </c>
      <c r="G29">
        <v>35626</v>
      </c>
      <c r="H29">
        <v>10</v>
      </c>
      <c r="I29">
        <v>18</v>
      </c>
      <c r="J29" t="s">
        <v>119</v>
      </c>
      <c r="K29" t="s">
        <v>129</v>
      </c>
      <c r="L29">
        <v>113504</v>
      </c>
    </row>
    <row r="30" spans="1:12" x14ac:dyDescent="0.3">
      <c r="A30" t="s">
        <v>40</v>
      </c>
      <c r="B30" t="s">
        <v>70</v>
      </c>
      <c r="C30" t="s">
        <v>83</v>
      </c>
      <c r="D30" t="s">
        <v>84</v>
      </c>
      <c r="E30" t="s">
        <v>105</v>
      </c>
      <c r="F30">
        <v>2</v>
      </c>
      <c r="G30">
        <v>5856</v>
      </c>
      <c r="H30">
        <v>8</v>
      </c>
      <c r="I30">
        <v>18</v>
      </c>
      <c r="J30" t="s">
        <v>124</v>
      </c>
      <c r="K30" t="s">
        <v>127</v>
      </c>
      <c r="L30">
        <v>12715</v>
      </c>
    </row>
    <row r="31" spans="1:12" x14ac:dyDescent="0.3">
      <c r="A31" t="s">
        <v>41</v>
      </c>
      <c r="B31" t="s">
        <v>71</v>
      </c>
      <c r="C31" t="s">
        <v>76</v>
      </c>
      <c r="D31" t="s">
        <v>86</v>
      </c>
      <c r="E31" t="s">
        <v>104</v>
      </c>
      <c r="F31">
        <v>4</v>
      </c>
      <c r="G31">
        <v>62996</v>
      </c>
      <c r="H31">
        <v>8</v>
      </c>
      <c r="I31">
        <v>18</v>
      </c>
      <c r="J31" t="s">
        <v>120</v>
      </c>
      <c r="K31" t="s">
        <v>126</v>
      </c>
      <c r="L31">
        <v>273554</v>
      </c>
    </row>
    <row r="32" spans="1:12" x14ac:dyDescent="0.3">
      <c r="A32" t="s">
        <v>42</v>
      </c>
      <c r="B32" t="s">
        <v>53</v>
      </c>
      <c r="C32" t="s">
        <v>80</v>
      </c>
      <c r="D32" t="s">
        <v>86</v>
      </c>
      <c r="E32" t="s">
        <v>97</v>
      </c>
      <c r="F32">
        <v>1</v>
      </c>
      <c r="G32">
        <v>77238</v>
      </c>
      <c r="H32">
        <v>8</v>
      </c>
      <c r="I32">
        <v>18</v>
      </c>
      <c r="J32" t="s">
        <v>121</v>
      </c>
      <c r="K32" t="s">
        <v>126</v>
      </c>
      <c r="L32">
        <v>83850</v>
      </c>
    </row>
    <row r="33" spans="1:12" x14ac:dyDescent="0.3">
      <c r="A33" t="s">
        <v>43</v>
      </c>
      <c r="B33" t="s">
        <v>63</v>
      </c>
      <c r="C33" t="s">
        <v>79</v>
      </c>
      <c r="D33" t="s">
        <v>88</v>
      </c>
      <c r="E33" t="s">
        <v>100</v>
      </c>
      <c r="F33">
        <v>2</v>
      </c>
      <c r="G33">
        <v>25902</v>
      </c>
      <c r="H33">
        <v>12</v>
      </c>
      <c r="I33">
        <v>18</v>
      </c>
      <c r="J33" t="s">
        <v>112</v>
      </c>
      <c r="K33" t="s">
        <v>126</v>
      </c>
      <c r="L33">
        <v>53793</v>
      </c>
    </row>
    <row r="34" spans="1:12" x14ac:dyDescent="0.3">
      <c r="A34" t="s">
        <v>44</v>
      </c>
      <c r="B34" t="s">
        <v>62</v>
      </c>
      <c r="C34" t="s">
        <v>82</v>
      </c>
      <c r="D34" t="s">
        <v>85</v>
      </c>
      <c r="E34" t="s">
        <v>93</v>
      </c>
      <c r="F34">
        <v>5</v>
      </c>
      <c r="G34">
        <v>33653</v>
      </c>
      <c r="H34">
        <v>12</v>
      </c>
      <c r="I34">
        <v>18</v>
      </c>
      <c r="J34" t="s">
        <v>117</v>
      </c>
      <c r="K34" t="s">
        <v>126</v>
      </c>
      <c r="L34">
        <v>174726</v>
      </c>
    </row>
    <row r="35" spans="1:12" x14ac:dyDescent="0.3">
      <c r="A35" t="s">
        <v>45</v>
      </c>
      <c r="B35" t="s">
        <v>60</v>
      </c>
      <c r="C35" t="s">
        <v>77</v>
      </c>
      <c r="D35" t="s">
        <v>87</v>
      </c>
      <c r="E35" t="s">
        <v>104</v>
      </c>
      <c r="F35">
        <v>3</v>
      </c>
      <c r="G35">
        <v>32641</v>
      </c>
      <c r="H35">
        <v>12</v>
      </c>
      <c r="I35">
        <v>18</v>
      </c>
      <c r="J35" t="s">
        <v>108</v>
      </c>
      <c r="K35" t="s">
        <v>126</v>
      </c>
      <c r="L35">
        <v>101683</v>
      </c>
    </row>
    <row r="36" spans="1:12" x14ac:dyDescent="0.3">
      <c r="A36" t="s">
        <v>46</v>
      </c>
      <c r="B36" t="s">
        <v>52</v>
      </c>
      <c r="C36" t="s">
        <v>82</v>
      </c>
      <c r="D36" t="s">
        <v>85</v>
      </c>
      <c r="E36" t="s">
        <v>103</v>
      </c>
      <c r="F36">
        <v>1</v>
      </c>
      <c r="G36">
        <v>81391</v>
      </c>
      <c r="H36">
        <v>5</v>
      </c>
      <c r="I36">
        <v>18</v>
      </c>
      <c r="J36" t="s">
        <v>110</v>
      </c>
      <c r="K36" t="s">
        <v>128</v>
      </c>
      <c r="L36">
        <v>91239</v>
      </c>
    </row>
    <row r="37" spans="1:12" x14ac:dyDescent="0.3">
      <c r="A37" t="s">
        <v>47</v>
      </c>
      <c r="B37" t="s">
        <v>72</v>
      </c>
      <c r="C37" t="s">
        <v>83</v>
      </c>
      <c r="D37" t="s">
        <v>84</v>
      </c>
      <c r="E37" t="s">
        <v>99</v>
      </c>
      <c r="F37">
        <v>3</v>
      </c>
      <c r="G37">
        <v>24276</v>
      </c>
      <c r="H37">
        <v>8</v>
      </c>
      <c r="I37">
        <v>18</v>
      </c>
      <c r="J37" t="s">
        <v>110</v>
      </c>
      <c r="K37" t="s">
        <v>127</v>
      </c>
      <c r="L37">
        <v>79062</v>
      </c>
    </row>
    <row r="38" spans="1:12" x14ac:dyDescent="0.3">
      <c r="A38" t="s">
        <v>48</v>
      </c>
      <c r="B38" t="s">
        <v>65</v>
      </c>
      <c r="C38" t="s">
        <v>83</v>
      </c>
      <c r="D38" t="s">
        <v>84</v>
      </c>
      <c r="E38" t="s">
        <v>99</v>
      </c>
      <c r="F38">
        <v>4</v>
      </c>
      <c r="G38">
        <v>86536</v>
      </c>
      <c r="H38">
        <v>5</v>
      </c>
      <c r="I38">
        <v>18</v>
      </c>
      <c r="J38" t="s">
        <v>110</v>
      </c>
      <c r="K38" t="s">
        <v>128</v>
      </c>
      <c r="L38">
        <v>388027</v>
      </c>
    </row>
    <row r="39" spans="1:12" x14ac:dyDescent="0.3">
      <c r="A39" t="s">
        <v>49</v>
      </c>
      <c r="B39" t="s">
        <v>73</v>
      </c>
      <c r="C39" t="s">
        <v>77</v>
      </c>
      <c r="D39" t="s">
        <v>87</v>
      </c>
      <c r="E39" t="s">
        <v>92</v>
      </c>
      <c r="F39">
        <v>4</v>
      </c>
      <c r="G39">
        <v>53339</v>
      </c>
      <c r="H39">
        <v>5</v>
      </c>
      <c r="I39">
        <v>18</v>
      </c>
      <c r="J39" t="s">
        <v>120</v>
      </c>
      <c r="K39" t="s">
        <v>130</v>
      </c>
      <c r="L39">
        <v>239172</v>
      </c>
    </row>
    <row r="40" spans="1:12" x14ac:dyDescent="0.3">
      <c r="A40" t="s">
        <v>50</v>
      </c>
      <c r="B40" t="s">
        <v>65</v>
      </c>
      <c r="C40" t="s">
        <v>82</v>
      </c>
      <c r="D40" t="s">
        <v>85</v>
      </c>
      <c r="E40" t="s">
        <v>102</v>
      </c>
      <c r="F40">
        <v>3</v>
      </c>
      <c r="G40">
        <v>85315</v>
      </c>
      <c r="H40">
        <v>8</v>
      </c>
      <c r="I40">
        <v>18</v>
      </c>
      <c r="J40" t="s">
        <v>111</v>
      </c>
      <c r="K40" t="s">
        <v>129</v>
      </c>
      <c r="L40">
        <v>277854</v>
      </c>
    </row>
    <row r="41" spans="1:12" x14ac:dyDescent="0.3">
      <c r="A41" t="s">
        <v>51</v>
      </c>
      <c r="B41" t="s">
        <v>52</v>
      </c>
      <c r="C41" t="s">
        <v>83</v>
      </c>
      <c r="D41" t="s">
        <v>84</v>
      </c>
      <c r="E41" t="s">
        <v>106</v>
      </c>
      <c r="F41">
        <v>4</v>
      </c>
      <c r="G41">
        <v>87273</v>
      </c>
      <c r="H41">
        <v>10</v>
      </c>
      <c r="I41">
        <v>18</v>
      </c>
      <c r="J41" t="s">
        <v>125</v>
      </c>
      <c r="K41" t="s">
        <v>127</v>
      </c>
      <c r="L41">
        <v>370736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A116-1047-4C37-B7EC-C2AA832D4C5E}">
  <dimension ref="A2:W151"/>
  <sheetViews>
    <sheetView showGridLines="0" tabSelected="1" topLeftCell="B13" zoomScale="53" zoomScaleNormal="53" workbookViewId="0">
      <selection activeCell="E16" sqref="E16"/>
    </sheetView>
  </sheetViews>
  <sheetFormatPr defaultRowHeight="14.4" x14ac:dyDescent="0.3"/>
  <cols>
    <col min="1" max="1" width="19.21875" style="2" bestFit="1" customWidth="1"/>
    <col min="2" max="2" width="25.44140625" style="2" bestFit="1" customWidth="1"/>
    <col min="3" max="5" width="8.88671875" style="2"/>
    <col min="6" max="6" width="19.21875" style="2" bestFit="1" customWidth="1"/>
    <col min="7" max="7" width="23.77734375" style="2" bestFit="1" customWidth="1"/>
    <col min="8" max="8" width="12.5546875" style="2" bestFit="1" customWidth="1"/>
    <col min="9" max="10" width="13.33203125" style="2" bestFit="1" customWidth="1"/>
    <col min="11" max="11" width="16.44140625" style="2" bestFit="1" customWidth="1"/>
    <col min="12" max="12" width="6" style="2" bestFit="1" customWidth="1"/>
    <col min="13" max="13" width="7.44140625" style="2" bestFit="1" customWidth="1"/>
    <col min="14" max="14" width="8.44140625" style="2" bestFit="1" customWidth="1"/>
    <col min="15" max="15" width="7.109375" style="2" bestFit="1" customWidth="1"/>
    <col min="16" max="16" width="13.33203125" style="2" bestFit="1" customWidth="1"/>
    <col min="17" max="17" width="14.77734375" style="2" bestFit="1" customWidth="1"/>
    <col min="18" max="19" width="16.44140625" style="2" bestFit="1" customWidth="1"/>
    <col min="20" max="20" width="7" style="2" bestFit="1" customWidth="1"/>
    <col min="21" max="22" width="8.44140625" style="2" bestFit="1" customWidth="1"/>
    <col min="23" max="23" width="7" style="2" bestFit="1" customWidth="1"/>
    <col min="24" max="24" width="6" style="2" bestFit="1" customWidth="1"/>
    <col min="25" max="25" width="7" style="2" bestFit="1" customWidth="1"/>
    <col min="26" max="26" width="6" style="2" bestFit="1" customWidth="1"/>
    <col min="27" max="35" width="7" style="2" bestFit="1" customWidth="1"/>
    <col min="36" max="37" width="6" style="2" bestFit="1" customWidth="1"/>
    <col min="38" max="38" width="7" style="2" bestFit="1" customWidth="1"/>
    <col min="39" max="39" width="6" style="2" bestFit="1" customWidth="1"/>
    <col min="40" max="41" width="7" style="2" bestFit="1" customWidth="1"/>
    <col min="42" max="42" width="6" style="2" bestFit="1" customWidth="1"/>
    <col min="43" max="46" width="7" style="2" bestFit="1" customWidth="1"/>
    <col min="47" max="47" width="10.77734375" style="2" bestFit="1" customWidth="1"/>
    <col min="48" max="56" width="7" style="2" bestFit="1" customWidth="1"/>
    <col min="57" max="57" width="10.77734375" style="2" bestFit="1" customWidth="1"/>
    <col min="58" max="16384" width="8.88671875" style="2"/>
  </cols>
  <sheetData>
    <row r="2" spans="13:15" x14ac:dyDescent="0.3">
      <c r="M2" s="2" t="s">
        <v>11</v>
      </c>
      <c r="N2" s="2" t="s">
        <v>136</v>
      </c>
      <c r="O2" s="2" t="s">
        <v>137</v>
      </c>
    </row>
    <row r="3" spans="13:15" x14ac:dyDescent="0.3">
      <c r="M3" s="2">
        <f>GETPIVOTDATA("Total Sales",$A$126)</f>
        <v>80853</v>
      </c>
      <c r="N3" s="2">
        <f>M3/40</f>
        <v>2021.325</v>
      </c>
      <c r="O3" s="3">
        <f>GETPIVOTDATA("Discount (%)",$A$117)/100</f>
        <v>0.08</v>
      </c>
    </row>
    <row r="17" spans="7:23" x14ac:dyDescent="0.3">
      <c r="G17" s="8" t="s">
        <v>138</v>
      </c>
      <c r="H17" s="8"/>
      <c r="I17" s="8"/>
      <c r="J17" s="8"/>
      <c r="K17" s="8"/>
      <c r="L17" s="8"/>
      <c r="M17" s="8"/>
      <c r="N17" s="8"/>
      <c r="O17" s="8"/>
      <c r="P17" s="8"/>
      <c r="Q17" s="8"/>
      <c r="R17" s="8"/>
      <c r="S17" s="8"/>
      <c r="T17" s="8"/>
      <c r="U17" s="8"/>
      <c r="V17" s="8"/>
      <c r="W17" s="8"/>
    </row>
    <row r="18" spans="7:23" ht="14.4" customHeight="1" x14ac:dyDescent="0.3">
      <c r="G18" s="8"/>
      <c r="H18" s="8"/>
      <c r="I18" s="8"/>
      <c r="J18" s="8"/>
      <c r="K18" s="8"/>
      <c r="L18" s="8"/>
      <c r="M18" s="8"/>
      <c r="N18" s="8"/>
      <c r="O18" s="8"/>
      <c r="P18" s="8"/>
      <c r="Q18" s="8"/>
      <c r="R18" s="8"/>
      <c r="S18" s="8"/>
      <c r="T18" s="8"/>
      <c r="U18" s="8"/>
      <c r="V18" s="8"/>
      <c r="W18" s="8"/>
    </row>
    <row r="19" spans="7:23" ht="14.4" customHeight="1" x14ac:dyDescent="0.3">
      <c r="G19" s="8"/>
      <c r="H19" s="8"/>
      <c r="I19" s="8"/>
      <c r="J19" s="8"/>
      <c r="K19" s="8"/>
      <c r="L19" s="8"/>
      <c r="M19" s="8"/>
      <c r="N19" s="8"/>
      <c r="O19" s="8"/>
      <c r="P19" s="8"/>
      <c r="Q19" s="8"/>
      <c r="R19" s="8"/>
      <c r="S19" s="8"/>
      <c r="T19" s="8"/>
      <c r="U19" s="8"/>
      <c r="V19" s="8"/>
      <c r="W19" s="8"/>
    </row>
    <row r="20" spans="7:23" x14ac:dyDescent="0.3">
      <c r="G20" s="8"/>
      <c r="H20" s="8"/>
      <c r="I20" s="8"/>
      <c r="J20" s="8"/>
      <c r="K20" s="8"/>
      <c r="L20" s="8"/>
      <c r="M20" s="8"/>
      <c r="N20" s="8"/>
      <c r="O20" s="8"/>
      <c r="P20" s="8"/>
      <c r="Q20" s="8"/>
      <c r="R20" s="8"/>
      <c r="S20" s="8"/>
      <c r="T20" s="8"/>
      <c r="U20" s="8"/>
      <c r="V20" s="8"/>
      <c r="W20" s="8"/>
    </row>
    <row r="90" spans="10:21" x14ac:dyDescent="0.3">
      <c r="U90" s="4"/>
    </row>
    <row r="91" spans="10:21" x14ac:dyDescent="0.3">
      <c r="R91" s="5"/>
    </row>
    <row r="92" spans="10:21" x14ac:dyDescent="0.3">
      <c r="J92" s="6"/>
    </row>
    <row r="106" spans="5:6" x14ac:dyDescent="0.3">
      <c r="E106" s="2" t="s">
        <v>131</v>
      </c>
      <c r="F106" s="2" t="s">
        <v>134</v>
      </c>
    </row>
    <row r="107" spans="5:6" x14ac:dyDescent="0.3">
      <c r="E107" s="2" t="s">
        <v>108</v>
      </c>
      <c r="F107" s="2">
        <v>524654</v>
      </c>
    </row>
    <row r="108" spans="5:6" x14ac:dyDescent="0.3">
      <c r="E108" s="2" t="s">
        <v>118</v>
      </c>
      <c r="F108" s="2">
        <v>91676</v>
      </c>
    </row>
    <row r="109" spans="5:6" x14ac:dyDescent="0.3">
      <c r="E109" s="2" t="s">
        <v>117</v>
      </c>
      <c r="F109" s="2">
        <v>437110</v>
      </c>
    </row>
    <row r="110" spans="5:6" x14ac:dyDescent="0.3">
      <c r="E110" s="2" t="s">
        <v>119</v>
      </c>
      <c r="F110" s="2">
        <v>368436</v>
      </c>
    </row>
    <row r="111" spans="5:6" x14ac:dyDescent="0.3">
      <c r="E111" s="2" t="s">
        <v>111</v>
      </c>
      <c r="F111" s="2">
        <v>580292</v>
      </c>
    </row>
    <row r="112" spans="5:6" x14ac:dyDescent="0.3">
      <c r="E112" s="2" t="s">
        <v>110</v>
      </c>
      <c r="F112" s="2">
        <v>796704</v>
      </c>
    </row>
    <row r="113" spans="1:6" x14ac:dyDescent="0.3">
      <c r="E113" s="2" t="s">
        <v>109</v>
      </c>
      <c r="F113" s="2">
        <v>80853</v>
      </c>
    </row>
    <row r="114" spans="1:6" x14ac:dyDescent="0.3">
      <c r="E114" s="2" t="s">
        <v>112</v>
      </c>
      <c r="F114" s="2">
        <v>308725</v>
      </c>
    </row>
    <row r="115" spans="1:6" x14ac:dyDescent="0.3">
      <c r="A115" s="2" t="s">
        <v>4</v>
      </c>
      <c r="B115" s="2" t="s">
        <v>135</v>
      </c>
      <c r="E115" s="2" t="s">
        <v>114</v>
      </c>
      <c r="F115" s="2">
        <v>279320</v>
      </c>
    </row>
    <row r="116" spans="1:6" x14ac:dyDescent="0.3">
      <c r="E116" s="2" t="s">
        <v>107</v>
      </c>
      <c r="F116" s="2">
        <v>154881</v>
      </c>
    </row>
    <row r="117" spans="1:6" x14ac:dyDescent="0.3">
      <c r="A117" s="2" t="s">
        <v>131</v>
      </c>
      <c r="B117" s="2" t="s">
        <v>133</v>
      </c>
      <c r="E117" s="2" t="s">
        <v>120</v>
      </c>
      <c r="F117" s="2">
        <v>529096</v>
      </c>
    </row>
    <row r="118" spans="1:6" x14ac:dyDescent="0.3">
      <c r="A118" s="7" t="s">
        <v>84</v>
      </c>
      <c r="B118" s="9">
        <v>8</v>
      </c>
      <c r="E118" s="2" t="s">
        <v>116</v>
      </c>
      <c r="F118" s="2">
        <v>220108</v>
      </c>
    </row>
    <row r="119" spans="1:6" x14ac:dyDescent="0.3">
      <c r="A119" s="7" t="s">
        <v>132</v>
      </c>
      <c r="B119" s="9">
        <v>8</v>
      </c>
      <c r="E119" s="2" t="s">
        <v>124</v>
      </c>
      <c r="F119" s="2">
        <v>12715</v>
      </c>
    </row>
    <row r="120" spans="1:6" x14ac:dyDescent="0.3">
      <c r="A120"/>
      <c r="B120"/>
      <c r="E120" s="2" t="s">
        <v>115</v>
      </c>
      <c r="F120" s="2">
        <v>229599</v>
      </c>
    </row>
    <row r="121" spans="1:6" x14ac:dyDescent="0.3">
      <c r="A121"/>
      <c r="B121"/>
      <c r="E121" s="2" t="s">
        <v>125</v>
      </c>
      <c r="F121" s="2">
        <v>370736</v>
      </c>
    </row>
    <row r="122" spans="1:6" x14ac:dyDescent="0.3">
      <c r="E122" s="2" t="s">
        <v>121</v>
      </c>
      <c r="F122" s="2">
        <v>203457</v>
      </c>
    </row>
    <row r="123" spans="1:6" x14ac:dyDescent="0.3">
      <c r="E123" s="2" t="s">
        <v>113</v>
      </c>
      <c r="F123" s="2">
        <v>329850</v>
      </c>
    </row>
    <row r="124" spans="1:6" x14ac:dyDescent="0.3">
      <c r="E124" s="2" t="s">
        <v>123</v>
      </c>
      <c r="F124" s="2">
        <v>227413</v>
      </c>
    </row>
    <row r="125" spans="1:6" x14ac:dyDescent="0.3">
      <c r="E125" s="2" t="s">
        <v>122</v>
      </c>
      <c r="F125" s="2">
        <v>165688</v>
      </c>
    </row>
    <row r="126" spans="1:6" x14ac:dyDescent="0.3">
      <c r="A126" s="2" t="s">
        <v>131</v>
      </c>
      <c r="B126" s="2" t="s">
        <v>134</v>
      </c>
    </row>
    <row r="127" spans="1:6" x14ac:dyDescent="0.3">
      <c r="A127" s="7" t="s">
        <v>84</v>
      </c>
      <c r="B127" s="9">
        <v>80853</v>
      </c>
    </row>
    <row r="128" spans="1:6" x14ac:dyDescent="0.3">
      <c r="A128" s="7" t="s">
        <v>132</v>
      </c>
      <c r="B128" s="9">
        <v>80853</v>
      </c>
    </row>
    <row r="129" spans="1:7" x14ac:dyDescent="0.3">
      <c r="A129"/>
      <c r="B129"/>
    </row>
    <row r="130" spans="1:7" x14ac:dyDescent="0.3">
      <c r="A130"/>
      <c r="B130"/>
      <c r="F130" s="2" t="s">
        <v>131</v>
      </c>
      <c r="G130" s="2" t="s">
        <v>134</v>
      </c>
    </row>
    <row r="131" spans="1:7" x14ac:dyDescent="0.3">
      <c r="F131" s="7" t="s">
        <v>54</v>
      </c>
      <c r="G131" s="9">
        <v>80853</v>
      </c>
    </row>
    <row r="132" spans="1:7" x14ac:dyDescent="0.3">
      <c r="F132" s="7" t="s">
        <v>132</v>
      </c>
      <c r="G132" s="9">
        <v>80853</v>
      </c>
    </row>
    <row r="133" spans="1:7" x14ac:dyDescent="0.3">
      <c r="F133"/>
      <c r="G133"/>
    </row>
    <row r="134" spans="1:7" x14ac:dyDescent="0.3">
      <c r="F134"/>
      <c r="G134"/>
    </row>
    <row r="135" spans="1:7" x14ac:dyDescent="0.3">
      <c r="F135"/>
      <c r="G135"/>
    </row>
    <row r="136" spans="1:7" x14ac:dyDescent="0.3">
      <c r="F136"/>
      <c r="G136"/>
    </row>
    <row r="140" spans="1:7" x14ac:dyDescent="0.3">
      <c r="F140" s="2" t="s">
        <v>131</v>
      </c>
      <c r="G140" s="2" t="s">
        <v>133</v>
      </c>
    </row>
    <row r="141" spans="1:7" x14ac:dyDescent="0.3">
      <c r="F141" s="7" t="s">
        <v>127</v>
      </c>
      <c r="G141" s="9">
        <v>8</v>
      </c>
    </row>
    <row r="142" spans="1:7" x14ac:dyDescent="0.3">
      <c r="F142" s="7" t="s">
        <v>132</v>
      </c>
      <c r="G142" s="9">
        <v>8</v>
      </c>
    </row>
    <row r="143" spans="1:7" x14ac:dyDescent="0.3">
      <c r="F143"/>
      <c r="G143"/>
    </row>
    <row r="146" spans="6:7" x14ac:dyDescent="0.3">
      <c r="F146" s="2" t="s">
        <v>131</v>
      </c>
      <c r="G146" s="2" t="s">
        <v>134</v>
      </c>
    </row>
    <row r="147" spans="6:7" x14ac:dyDescent="0.3">
      <c r="F147" s="7" t="s">
        <v>90</v>
      </c>
      <c r="G147" s="9">
        <v>80853</v>
      </c>
    </row>
    <row r="148" spans="6:7" x14ac:dyDescent="0.3">
      <c r="F148" s="7" t="s">
        <v>132</v>
      </c>
      <c r="G148" s="9">
        <v>80853</v>
      </c>
    </row>
    <row r="149" spans="6:7" x14ac:dyDescent="0.3">
      <c r="F149"/>
      <c r="G149"/>
    </row>
    <row r="150" spans="6:7" x14ac:dyDescent="0.3">
      <c r="F150"/>
      <c r="G150"/>
    </row>
    <row r="151" spans="6:7" x14ac:dyDescent="0.3">
      <c r="F151"/>
      <c r="G151"/>
    </row>
  </sheetData>
  <mergeCells count="1">
    <mergeCell ref="G17:W20"/>
  </mergeCells>
  <phoneticPr fontId="2" type="noConversion"/>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Prajakta more</dc:creator>
  <cp:lastModifiedBy>Prajakta more</cp:lastModifiedBy>
  <dcterms:created xsi:type="dcterms:W3CDTF">2025-11-06T11:14:08Z</dcterms:created>
  <dcterms:modified xsi:type="dcterms:W3CDTF">2026-06-15T12:10:05Z</dcterms:modified>
</cp:coreProperties>
</file>